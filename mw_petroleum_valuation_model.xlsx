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lbinaananyan/Desktop/UCSD MQF/MQF Winter 2026/MGTF407 - Valuation/MWPetroleum/"/>
    </mc:Choice>
  </mc:AlternateContent>
  <xr:revisionPtr revIDLastSave="0" documentId="13_ncr:9_{402BA968-EE7F-BD48-A956-FA3F9C37533A}" xr6:coauthVersionLast="47" xr6:coauthVersionMax="47" xr10:uidLastSave="{00000000-0000-0000-0000-000000000000}"/>
  <bookViews>
    <workbookView xWindow="20" yWindow="500" windowWidth="28800" windowHeight="16080" activeTab="11" xr2:uid="{CD873DA5-2F39-0E4D-A051-18D33FDAAEF9}"/>
  </bookViews>
  <sheets>
    <sheet name="Copyright" sheetId="1" r:id="rId1"/>
    <sheet name="Table A" sheetId="48" r:id="rId2"/>
    <sheet name="Exhibit 1" sheetId="49" r:id="rId3"/>
    <sheet name="Exhibit 2" sheetId="50" r:id="rId4"/>
    <sheet name="Exhibit 3" sheetId="51" r:id="rId5"/>
    <sheet name="Exhibit 4" sheetId="52" r:id="rId6"/>
    <sheet name="Exhibit 5" sheetId="53" r:id="rId7"/>
    <sheet name="Exhibit 6" sheetId="54" r:id="rId8"/>
    <sheet name="Exhibit 7" sheetId="55" r:id="rId9"/>
    <sheet name="Exhibit 10" sheetId="56" r:id="rId10"/>
    <sheet name="DCF" sheetId="57" r:id="rId11"/>
    <sheet name="Real Options" sheetId="5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57" l="1"/>
  <c r="D37" i="57"/>
  <c r="E37" i="57"/>
  <c r="F37" i="57"/>
  <c r="G37" i="57"/>
  <c r="C37" i="57"/>
  <c r="C34" i="58"/>
  <c r="C35" i="58"/>
  <c r="C18" i="58"/>
  <c r="D29" i="57"/>
  <c r="E29" i="57"/>
  <c r="F29" i="57"/>
  <c r="G29" i="57"/>
  <c r="C29" i="57"/>
  <c r="C19" i="58"/>
  <c r="C20" i="58"/>
  <c r="C3" i="58"/>
  <c r="D12" i="57"/>
  <c r="C12" i="57"/>
  <c r="C5" i="58"/>
  <c r="C4" i="58" s="1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C38" i="54"/>
  <c r="D38" i="53"/>
  <c r="E38" i="53"/>
  <c r="F38" i="53"/>
  <c r="G38" i="53"/>
  <c r="H38" i="53"/>
  <c r="I38" i="53"/>
  <c r="J38" i="53"/>
  <c r="K38" i="53"/>
  <c r="L38" i="53"/>
  <c r="M38" i="53"/>
  <c r="N38" i="53"/>
  <c r="O38" i="53"/>
  <c r="P38" i="53"/>
  <c r="Q38" i="53"/>
  <c r="C38" i="53"/>
  <c r="S38" i="52"/>
  <c r="D38" i="52"/>
  <c r="E38" i="52"/>
  <c r="F38" i="52"/>
  <c r="G38" i="52"/>
  <c r="H38" i="52"/>
  <c r="I38" i="52"/>
  <c r="J38" i="52"/>
  <c r="K38" i="52"/>
  <c r="L38" i="52"/>
  <c r="M38" i="52"/>
  <c r="N38" i="52"/>
  <c r="O38" i="52"/>
  <c r="P38" i="52"/>
  <c r="Q38" i="52"/>
  <c r="C38" i="52"/>
  <c r="S38" i="51"/>
  <c r="D38" i="51"/>
  <c r="E38" i="51"/>
  <c r="F38" i="51"/>
  <c r="G38" i="51"/>
  <c r="H38" i="51"/>
  <c r="I38" i="51"/>
  <c r="J38" i="51"/>
  <c r="K38" i="51"/>
  <c r="L38" i="51"/>
  <c r="M38" i="51"/>
  <c r="N38" i="51"/>
  <c r="O38" i="51"/>
  <c r="P38" i="51"/>
  <c r="Q38" i="51"/>
  <c r="C38" i="51"/>
  <c r="Q39" i="57"/>
  <c r="H37" i="57"/>
  <c r="I37" i="57"/>
  <c r="J37" i="57"/>
  <c r="K37" i="57"/>
  <c r="L37" i="57"/>
  <c r="M37" i="57"/>
  <c r="N37" i="57"/>
  <c r="O37" i="57"/>
  <c r="P37" i="57"/>
  <c r="Q37" i="57"/>
  <c r="Q31" i="57"/>
  <c r="H29" i="57"/>
  <c r="I29" i="57"/>
  <c r="J29" i="57"/>
  <c r="K29" i="57"/>
  <c r="L29" i="57"/>
  <c r="M29" i="57"/>
  <c r="N29" i="57"/>
  <c r="O29" i="57"/>
  <c r="P29" i="57"/>
  <c r="Q29" i="57"/>
  <c r="Q14" i="57"/>
  <c r="E12" i="57"/>
  <c r="F12" i="57"/>
  <c r="G12" i="57"/>
  <c r="H12" i="57"/>
  <c r="I12" i="57"/>
  <c r="J12" i="57"/>
  <c r="K12" i="57"/>
  <c r="L12" i="57"/>
  <c r="M12" i="57"/>
  <c r="N12" i="57"/>
  <c r="O12" i="57"/>
  <c r="P12" i="57"/>
  <c r="Q12" i="57"/>
  <c r="Q5" i="57"/>
  <c r="P3" i="57"/>
  <c r="Q3" i="57"/>
  <c r="D3" i="57"/>
  <c r="E3" i="57"/>
  <c r="F3" i="57"/>
  <c r="G3" i="57"/>
  <c r="H3" i="57"/>
  <c r="I3" i="57"/>
  <c r="J3" i="57"/>
  <c r="K3" i="57"/>
  <c r="L3" i="57"/>
  <c r="M3" i="57"/>
  <c r="N3" i="57"/>
  <c r="O3" i="57"/>
  <c r="C3" i="57"/>
  <c r="C33" i="58" l="1"/>
  <c r="C38" i="58" s="1"/>
  <c r="C23" i="58"/>
  <c r="C8" i="58"/>
  <c r="C40" i="58" l="1"/>
  <c r="C39" i="58"/>
  <c r="C41" i="58" s="1"/>
  <c r="C24" i="58"/>
  <c r="C26" i="58" s="1"/>
  <c r="C25" i="58"/>
  <c r="C27" i="58" s="1"/>
  <c r="C10" i="58"/>
  <c r="C9" i="58"/>
  <c r="C11" i="58" s="1"/>
  <c r="C42" i="58" l="1"/>
  <c r="C12" i="58"/>
  <c r="U5" i="57" l="1"/>
  <c r="U3" i="57"/>
  <c r="Q32" i="51"/>
  <c r="P32" i="51"/>
  <c r="O32" i="51"/>
  <c r="N32" i="51"/>
  <c r="M32" i="51"/>
  <c r="L32" i="51"/>
  <c r="K32" i="51"/>
  <c r="J32" i="51"/>
  <c r="I32" i="51"/>
  <c r="H32" i="51"/>
  <c r="G32" i="51"/>
  <c r="F32" i="51"/>
  <c r="E32" i="51"/>
  <c r="D32" i="51"/>
  <c r="U6" i="57" l="1"/>
  <c r="Q30" i="57" l="1"/>
  <c r="O38" i="57"/>
  <c r="F30" i="57"/>
  <c r="J38" i="57"/>
  <c r="Q38" i="57"/>
  <c r="F13" i="57"/>
  <c r="N30" i="57"/>
  <c r="M13" i="57"/>
  <c r="I30" i="57"/>
  <c r="I38" i="57"/>
  <c r="N13" i="57"/>
  <c r="G38" i="57"/>
  <c r="E13" i="57"/>
  <c r="C13" i="57"/>
  <c r="J30" i="57"/>
  <c r="E38" i="57"/>
  <c r="J13" i="57"/>
  <c r="K30" i="57"/>
  <c r="I13" i="57"/>
  <c r="C30" i="57"/>
  <c r="Q32" i="57"/>
  <c r="L13" i="57"/>
  <c r="O30" i="57"/>
  <c r="C38" i="57"/>
  <c r="K38" i="57"/>
  <c r="E30" i="57"/>
  <c r="Q13" i="57"/>
  <c r="P30" i="57"/>
  <c r="H30" i="57"/>
  <c r="P38" i="57"/>
  <c r="H13" i="57"/>
  <c r="P13" i="57"/>
  <c r="D13" i="57"/>
  <c r="Q40" i="57"/>
  <c r="O13" i="57"/>
  <c r="N38" i="57"/>
  <c r="L38" i="57"/>
  <c r="D38" i="57"/>
  <c r="Q15" i="57"/>
  <c r="F38" i="57"/>
  <c r="H38" i="57"/>
  <c r="D30" i="57"/>
  <c r="M30" i="57"/>
  <c r="G13" i="57"/>
  <c r="L30" i="57"/>
  <c r="K13" i="57"/>
  <c r="M38" i="57"/>
  <c r="G30" i="57"/>
  <c r="K4" i="57"/>
  <c r="E4" i="57"/>
  <c r="L4" i="57"/>
  <c r="O4" i="57"/>
  <c r="D4" i="57"/>
  <c r="Q4" i="57"/>
  <c r="J4" i="57"/>
  <c r="I4" i="57"/>
  <c r="H4" i="57"/>
  <c r="P4" i="57"/>
  <c r="Q6" i="57"/>
  <c r="N4" i="57"/>
  <c r="F4" i="57"/>
  <c r="M4" i="57"/>
  <c r="C4" i="57"/>
  <c r="G4" i="57"/>
  <c r="Q17" i="57" l="1"/>
  <c r="B16" i="57"/>
  <c r="C16" i="57" s="1"/>
  <c r="D16" i="57" s="1"/>
  <c r="E16" i="57" s="1"/>
  <c r="F16" i="57" s="1"/>
  <c r="G16" i="57" s="1"/>
  <c r="H16" i="57" s="1"/>
  <c r="I16" i="57" s="1"/>
  <c r="J16" i="57" s="1"/>
  <c r="K16" i="57" s="1"/>
  <c r="L16" i="57" s="1"/>
  <c r="M16" i="57" s="1"/>
  <c r="N16" i="57" s="1"/>
  <c r="O16" i="57" s="1"/>
  <c r="P16" i="57" s="1"/>
  <c r="Q16" i="57" s="1"/>
  <c r="Q33" i="57"/>
  <c r="Q41" i="57"/>
  <c r="B7" i="57"/>
  <c r="Q8" i="57"/>
  <c r="C7" i="57" l="1"/>
  <c r="B21" i="57"/>
  <c r="D7" i="57" l="1"/>
  <c r="C21" i="57"/>
  <c r="C22" i="57" s="1"/>
  <c r="C23" i="57" s="1"/>
  <c r="C24" i="57" s="1"/>
  <c r="E7" i="57" l="1"/>
  <c r="D21" i="57"/>
  <c r="D22" i="57" s="1"/>
  <c r="D23" i="57" s="1"/>
  <c r="D24" i="57" s="1"/>
  <c r="F7" i="57" l="1"/>
  <c r="E21" i="57"/>
  <c r="E22" i="57" s="1"/>
  <c r="E23" i="57" s="1"/>
  <c r="E24" i="57" s="1"/>
  <c r="G7" i="57" l="1"/>
  <c r="F21" i="57"/>
  <c r="F22" i="57" s="1"/>
  <c r="F23" i="57" s="1"/>
  <c r="F24" i="57" s="1"/>
  <c r="H7" i="57" l="1"/>
  <c r="G21" i="57"/>
  <c r="G22" i="57" s="1"/>
  <c r="G23" i="57" s="1"/>
  <c r="G24" i="57" s="1"/>
  <c r="I7" i="57" l="1"/>
  <c r="H21" i="57"/>
  <c r="H22" i="57" s="1"/>
  <c r="H23" i="57" s="1"/>
  <c r="H24" i="57" s="1"/>
  <c r="J7" i="57" l="1"/>
  <c r="I21" i="57"/>
  <c r="I22" i="57" s="1"/>
  <c r="I23" i="57" s="1"/>
  <c r="I24" i="57" s="1"/>
  <c r="K7" i="57" l="1"/>
  <c r="J21" i="57"/>
  <c r="J22" i="57" s="1"/>
  <c r="J23" i="57" s="1"/>
  <c r="J24" i="57" s="1"/>
  <c r="L7" i="57" l="1"/>
  <c r="K21" i="57"/>
  <c r="K22" i="57" s="1"/>
  <c r="K23" i="57" s="1"/>
  <c r="K24" i="57" s="1"/>
  <c r="M7" i="57" l="1"/>
  <c r="L21" i="57"/>
  <c r="L22" i="57" s="1"/>
  <c r="L23" i="57" s="1"/>
  <c r="L24" i="57" s="1"/>
  <c r="N7" i="57" l="1"/>
  <c r="M21" i="57"/>
  <c r="M22" i="57" s="1"/>
  <c r="M23" i="57" s="1"/>
  <c r="M24" i="57" s="1"/>
  <c r="O7" i="57" l="1"/>
  <c r="N21" i="57"/>
  <c r="N22" i="57" s="1"/>
  <c r="N23" i="57" s="1"/>
  <c r="N24" i="57" s="1"/>
  <c r="P7" i="57" l="1"/>
  <c r="O21" i="57"/>
  <c r="O22" i="57" s="1"/>
  <c r="O23" i="57" s="1"/>
  <c r="O24" i="57" s="1"/>
  <c r="Q7" i="57" l="1"/>
  <c r="Q21" i="57" s="1"/>
  <c r="Q22" i="57" s="1"/>
  <c r="Q23" i="57" s="1"/>
  <c r="Q24" i="57" s="1"/>
  <c r="P21" i="57"/>
  <c r="P22" i="57" s="1"/>
  <c r="P23" i="57" s="1"/>
  <c r="P24" i="57" s="1"/>
  <c r="Q25" i="57" l="1"/>
  <c r="Q44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Albina Ananyan</author>
  </authors>
  <commentList>
    <comment ref="C4" authorId="0" shapeId="0" xr:uid="{31ACBA6D-0412-B44A-89BE-FBEF305594A5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PV of CapEx from Year 1 and Year 2 (Exhibit 4)
</t>
        </r>
      </text>
    </comment>
    <comment ref="C6" authorId="0" shapeId="0" xr:uid="{00CCF55C-B7DB-AE43-B552-581410849679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Based on oil and gas volatility from Exhibit 8</t>
        </r>
      </text>
    </comment>
    <comment ref="C19" authorId="0" shapeId="0" xr:uid="{FA96127B-4CEB-C247-AB4A-BFB017736286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PV of CapEx from Years 1-5 (Exhibit 5)</t>
        </r>
      </text>
    </comment>
    <comment ref="C21" authorId="0" shapeId="0" xr:uid="{2517B3B3-9EC2-2244-A600-CBF673F952AA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Based on oil and gas volatility from Exhibit 8</t>
        </r>
      </text>
    </comment>
    <comment ref="C34" authorId="0" shapeId="0" xr:uid="{B4D8596B-96CD-4941-90FC-E0B52315B5F3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PV of CapEx from Years 1-5 (Exhibit 6)
</t>
        </r>
      </text>
    </comment>
    <comment ref="C36" authorId="0" shapeId="0" xr:uid="{C40229D3-6155-6545-9E0F-BF1312CC8C87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Based on oil and gas volatility from Exhibit 8</t>
        </r>
      </text>
    </comment>
  </commentList>
</comments>
</file>

<file path=xl/sharedStrings.xml><?xml version="1.0" encoding="utf-8"?>
<sst xmlns="http://schemas.openxmlformats.org/spreadsheetml/2006/main" count="367" uniqueCount="181">
  <si>
    <t>Copyright © 2010 President and Fellows of Harvard College.  No part of this product may be reproduced, stored in a retrieval system or transmitted in any form or by any means—electronic, mechanical, photocopying, recording or otherwise—without the permission of Harvard Business School.</t>
  </si>
  <si>
    <t>Oil (MMB)</t>
  </si>
  <si>
    <t>Gas (MMCF)</t>
  </si>
  <si>
    <t>Total (MMBOE)</t>
  </si>
  <si>
    <t>Proved developed producing</t>
  </si>
  <si>
    <t>Proved developed non-producing</t>
  </si>
  <si>
    <t>Proved undeveloped</t>
  </si>
  <si>
    <t>Total Proved</t>
  </si>
  <si>
    <t>Total Probable</t>
  </si>
  <si>
    <t>Total Possible</t>
  </si>
  <si>
    <t>Total Reserves</t>
  </si>
  <si>
    <t>Income Statements</t>
  </si>
  <si>
    <t>Operating revenues</t>
  </si>
  <si>
    <t>Consumer excise taxes and other</t>
  </si>
  <si>
    <t>Total revenues</t>
  </si>
  <si>
    <t>Operating expenses</t>
  </si>
  <si>
    <t>Petroleum exploration expenses</t>
  </si>
  <si>
    <t>Selling and administrative expenses</t>
  </si>
  <si>
    <t>Taxes other than income taxes</t>
  </si>
  <si>
    <t>Depreciation, depletion and amortization</t>
  </si>
  <si>
    <t>Interest expense</t>
  </si>
  <si>
    <t>Total costs and expenses</t>
  </si>
  <si>
    <t>Income before income taxes</t>
  </si>
  <si>
    <t>Income taxes</t>
  </si>
  <si>
    <t>Net income</t>
  </si>
  <si>
    <t>Balance Sheets</t>
  </si>
  <si>
    <t>Current assets</t>
  </si>
  <si>
    <t>Investments and other</t>
  </si>
  <si>
    <t>Properties, net</t>
  </si>
  <si>
    <t>Total assets</t>
  </si>
  <si>
    <t>Current liabilities</t>
  </si>
  <si>
    <t>Short term debt</t>
  </si>
  <si>
    <t>Long term debt</t>
  </si>
  <si>
    <t>Other liabilities</t>
  </si>
  <si>
    <t>Shareholders’ equity</t>
  </si>
  <si>
    <t>Financial Ratios</t>
  </si>
  <si>
    <t>Return on operating revenues</t>
  </si>
  <si>
    <t>Return on assets</t>
  </si>
  <si>
    <t>Return on average equity</t>
  </si>
  <si>
    <t>Current ratio</t>
  </si>
  <si>
    <t>Debt / capital ratio</t>
  </si>
  <si>
    <t>Interest coverage ratio</t>
  </si>
  <si>
    <t>Debt rating</t>
  </si>
  <si>
    <t>Aaa</t>
  </si>
  <si>
    <t>Price - earnings ratio</t>
  </si>
  <si>
    <t>Cash flow per share</t>
  </si>
  <si>
    <t>Common shares outstanding, (millions)</t>
  </si>
  <si>
    <t>Year-end stock price</t>
  </si>
  <si>
    <r>
      <t>Exhibit 1</t>
    </r>
    <r>
      <rPr>
        <sz val="10"/>
        <rFont val="Arial"/>
      </rPr>
      <t xml:space="preserve">     Amoco Corporation, Selected Historical Financial Data (in $ millions except as noted)</t>
    </r>
  </si>
  <si>
    <t>Purchased crude oil, petroleum products &amp; merchandise</t>
  </si>
  <si>
    <t>Revenues</t>
  </si>
  <si>
    <t>Operating Expenses:</t>
  </si>
  <si>
    <t>Operating costs</t>
  </si>
  <si>
    <t>Gathering and marketing costs</t>
  </si>
  <si>
    <t>Administrative, selling and other</t>
  </si>
  <si>
    <t>Financing costs, net</t>
  </si>
  <si>
    <t>Income from continuing operations before income taxes</t>
  </si>
  <si>
    <t>Provision for income taxes</t>
  </si>
  <si>
    <t>Income from continuing operations</t>
  </si>
  <si>
    <t>Discontinued operations:</t>
  </si>
  <si>
    <t>Income from discontinued operations, net of income taxes</t>
  </si>
  <si>
    <t>Gain on sale of discontinued operations, net of income taxes</t>
  </si>
  <si>
    <t>Net income before extraordinary item</t>
  </si>
  <si>
    <t>Extraordinary item:</t>
  </si>
  <si>
    <t>Gain on early extinguishment from debt, net of income taxes</t>
  </si>
  <si>
    <t>Net income (loss)</t>
  </si>
  <si>
    <t>Property and equipment, net</t>
  </si>
  <si>
    <t>Other assets</t>
  </si>
  <si>
    <t>Interest expense (net)</t>
  </si>
  <si>
    <t>Interest coverage</t>
  </si>
  <si>
    <t>Debt rating (subordinated convertible debentures)</t>
  </si>
  <si>
    <t>Ba3</t>
  </si>
  <si>
    <t>B2</t>
  </si>
  <si>
    <t>Common shares outstanding (millions)</t>
  </si>
  <si>
    <t>$7 1//2</t>
  </si>
  <si>
    <r>
      <t>NR</t>
    </r>
    <r>
      <rPr>
        <vertAlign val="superscript"/>
        <sz val="10"/>
        <rFont val="Arial"/>
        <family val="2"/>
      </rPr>
      <t>a</t>
    </r>
  </si>
  <si>
    <r>
      <t>a</t>
    </r>
    <r>
      <rPr>
        <sz val="8"/>
        <rFont val="Arial"/>
        <family val="2"/>
      </rPr>
      <t>Not rated.</t>
    </r>
  </si>
  <si>
    <r>
      <t>b</t>
    </r>
    <r>
      <rPr>
        <sz val="8"/>
        <rFont val="Arial"/>
        <family val="2"/>
      </rPr>
      <t>The mean asset beta, estimated by Morgan Stanley for six independent companies including Apache, was 0.64.</t>
    </r>
  </si>
  <si>
    <r>
      <t>Exhibit 2</t>
    </r>
    <r>
      <rPr>
        <sz val="10"/>
        <rFont val="Arial"/>
      </rPr>
      <t xml:space="preserve">     Apache Corporation, Selected Historical Financial Data (in $ millions, except as noted)</t>
    </r>
  </si>
  <si>
    <t>Proved Developed Reserves</t>
  </si>
  <si>
    <t>Production:</t>
  </si>
  <si>
    <t>Crude and condensates (MB)</t>
  </si>
  <si>
    <t>Cash Flows (in millions):</t>
  </si>
  <si>
    <t>Revenues - oil</t>
  </si>
  <si>
    <t>Revenues - gas</t>
  </si>
  <si>
    <t>Direct production taxes</t>
  </si>
  <si>
    <t>Direct operating expense</t>
  </si>
  <si>
    <t>Overhead</t>
  </si>
  <si>
    <t>Fin. book DD&amp;A</t>
  </si>
  <si>
    <t>Net income before taxes</t>
  </si>
  <si>
    <t>Federal and state income taxes:</t>
  </si>
  <si>
    <t>Current</t>
  </si>
  <si>
    <t>Deferred</t>
  </si>
  <si>
    <t>Total income taxes</t>
  </si>
  <si>
    <t>Profit contribution</t>
  </si>
  <si>
    <t>Non-cash charges</t>
  </si>
  <si>
    <t>Cash from operations</t>
  </si>
  <si>
    <t>Capital expenditures</t>
  </si>
  <si>
    <t>Cash flow</t>
  </si>
  <si>
    <t>Terminal value</t>
  </si>
  <si>
    <t>Cumulative cash flow</t>
  </si>
  <si>
    <t>Notes to follow Exhibit 7.</t>
  </si>
  <si>
    <r>
      <t>Exhibit 3</t>
    </r>
    <r>
      <rPr>
        <sz val="10"/>
        <rFont val="Arial"/>
      </rPr>
      <t xml:space="preserve">     Proved Developed Reserves: Production and Cash Flow Projections ($ millions except as noted)</t>
    </r>
  </si>
  <si>
    <r>
      <t>Unlevered (asset) beta</t>
    </r>
    <r>
      <rPr>
        <vertAlign val="superscript"/>
        <sz val="10"/>
        <rFont val="Arial"/>
        <family val="2"/>
      </rPr>
      <t>b</t>
    </r>
  </si>
  <si>
    <t>Year 1</t>
  </si>
  <si>
    <t>Notes follow Exhibit 7.</t>
  </si>
  <si>
    <r>
      <t>Exhibit 4</t>
    </r>
    <r>
      <rPr>
        <sz val="10"/>
        <rFont val="Arial"/>
      </rPr>
      <t xml:space="preserve">     Proved Undeveloped Reserves: Production and Cash Flow Projections ($ millions except as noted)</t>
    </r>
  </si>
  <si>
    <t>Proved Undeveloped Reserves</t>
  </si>
  <si>
    <t>Probable Reserves</t>
  </si>
  <si>
    <r>
      <t>Exhibit 5</t>
    </r>
    <r>
      <rPr>
        <sz val="10"/>
        <rFont val="Arial"/>
      </rPr>
      <t xml:space="preserve">     Probable Reserves: Production and Cash Flow Projections ($ millions except as noted)</t>
    </r>
  </si>
  <si>
    <t>Possible Reserves</t>
  </si>
  <si>
    <r>
      <t>Exhibit 6</t>
    </r>
    <r>
      <rPr>
        <sz val="10"/>
        <rFont val="Arial"/>
      </rPr>
      <t xml:space="preserve">     Possible Reserves: Production and Cash Flow Projections ($ millions except as noted)</t>
    </r>
  </si>
  <si>
    <t>Aggregated MW Projections</t>
  </si>
  <si>
    <t>Net crude and condensates (MB)</t>
  </si>
  <si>
    <t>Net gas (MMCF)</t>
  </si>
  <si>
    <r>
      <t>Exhibit 7</t>
    </r>
    <r>
      <rPr>
        <sz val="10"/>
        <rFont val="Arial"/>
      </rPr>
      <t xml:space="preserve">     Aggregated MW Production and Cash Flow Projections ($ millions except as noted)</t>
    </r>
  </si>
  <si>
    <t>Term</t>
  </si>
  <si>
    <t>Yield</t>
  </si>
  <si>
    <t>30-day</t>
  </si>
  <si>
    <t>10-year</t>
  </si>
  <si>
    <t>30-year</t>
  </si>
  <si>
    <t>Note: Yields are expressed on a bond-equivalent basis.</t>
  </si>
  <si>
    <t>Industrial Bond Yields</t>
  </si>
  <si>
    <t>Rating</t>
  </si>
  <si>
    <t>AAA</t>
  </si>
  <si>
    <t>AA</t>
  </si>
  <si>
    <t>A</t>
  </si>
  <si>
    <t>BBB</t>
  </si>
  <si>
    <t>BB</t>
  </si>
  <si>
    <t>B</t>
  </si>
  <si>
    <r>
      <t>Exhibit 10</t>
    </r>
    <r>
      <rPr>
        <sz val="10"/>
        <rFont val="Arial"/>
      </rPr>
      <t xml:space="preserve">     Selected Contemporary Financial Market Data</t>
    </r>
  </si>
  <si>
    <t>U.S. Government Bond Yields, Year-end 1990</t>
  </si>
  <si>
    <r>
      <t>Table A:</t>
    </r>
    <r>
      <rPr>
        <sz val="10"/>
        <rFont val="Arial"/>
      </rPr>
      <t xml:space="preserve">     </t>
    </r>
    <r>
      <rPr>
        <b/>
        <sz val="10"/>
        <rFont val="Arial"/>
        <family val="2"/>
      </rPr>
      <t>MW Petroleum's Estimated Reserves</t>
    </r>
  </si>
  <si>
    <t>$32 3/4</t>
  </si>
  <si>
    <t>$34 1/2</t>
  </si>
  <si>
    <t>$37 1/2</t>
  </si>
  <si>
    <t>$54 5/8</t>
  </si>
  <si>
    <t>$52 3/8</t>
  </si>
  <si>
    <t>$7 7/8</t>
  </si>
  <si>
    <t>$18 3/8</t>
  </si>
  <si>
    <t>$14 5/8</t>
  </si>
  <si>
    <t>(0.0)</t>
  </si>
  <si>
    <r>
      <t xml:space="preserve">Sources: </t>
    </r>
    <r>
      <rPr>
        <i/>
        <sz val="8"/>
        <rFont val="Arial"/>
        <family val="2"/>
      </rPr>
      <t>Wall Street Journal,</t>
    </r>
    <r>
      <rPr>
        <sz val="8"/>
        <rFont val="Arial"/>
        <family val="2"/>
      </rPr>
      <t xml:space="preserve"> Morgan Stanley, Standard &amp; Poor’s.</t>
    </r>
  </si>
  <si>
    <t>MW Petroleum Corp. - A</t>
  </si>
  <si>
    <t>Harvard Business School Case #295-029</t>
  </si>
  <si>
    <t>Case Software #XLS083</t>
  </si>
  <si>
    <t>MRP</t>
  </si>
  <si>
    <t>Risk Free Rate</t>
  </si>
  <si>
    <t>Unlevered Beta</t>
  </si>
  <si>
    <t>Cost of Equity</t>
  </si>
  <si>
    <t>CAPM</t>
  </si>
  <si>
    <t>Tax Rate</t>
  </si>
  <si>
    <t>Terminal Value</t>
  </si>
  <si>
    <t>FCF</t>
  </si>
  <si>
    <t>Proved Developed</t>
  </si>
  <si>
    <t>PV (FCF)</t>
  </si>
  <si>
    <t>PV (TV)</t>
  </si>
  <si>
    <t>Proved Undeveloped</t>
  </si>
  <si>
    <t>Probable</t>
  </si>
  <si>
    <t>Possible</t>
  </si>
  <si>
    <t>Value</t>
  </si>
  <si>
    <t>Cost of Debt</t>
  </si>
  <si>
    <t>Debt Capacity</t>
  </si>
  <si>
    <t>Reserve Value</t>
  </si>
  <si>
    <t>Debt Structure</t>
  </si>
  <si>
    <t>Interest</t>
  </si>
  <si>
    <t>Tax Shield</t>
  </si>
  <si>
    <t>PV (TS)</t>
  </si>
  <si>
    <t>Total Value</t>
  </si>
  <si>
    <t>S (Asset Value)</t>
  </si>
  <si>
    <t>K (Strike)</t>
  </si>
  <si>
    <t>r (Risk-free)</t>
  </si>
  <si>
    <t>σ (Volatility)</t>
  </si>
  <si>
    <t>T (Years to wait)</t>
  </si>
  <si>
    <t>d1</t>
  </si>
  <si>
    <t>d2</t>
  </si>
  <si>
    <t>N(d1)</t>
  </si>
  <si>
    <t>N(d2)</t>
  </si>
  <si>
    <t>Call Value</t>
  </si>
  <si>
    <t>Black-Scholes</t>
  </si>
  <si>
    <t>Years to Wait /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</si>
</sst>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8" formatCode="0_);\(0\)"/>
    <numFmt numFmtId="171" formatCode="0.0"/>
    <numFmt numFmtId="174" formatCode="0.0%"/>
    <numFmt numFmtId="176" formatCode="0.0;[Red]0.0"/>
    <numFmt numFmtId="177" formatCode="&quot;$&quot;#,##0"/>
    <numFmt numFmtId="178" formatCode="&quot;$&quot;#,##0.00"/>
    <numFmt numFmtId="179" formatCode="&quot;$&quot;#,##0.0"/>
    <numFmt numFmtId="180" formatCode="0.0_);\(0.0\)"/>
  </numFmts>
  <fonts count="23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vertAlign val="superscript"/>
      <sz val="10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>
      <alignment horizontal="right"/>
    </xf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>
      <alignment horizontal="right"/>
    </xf>
    <xf numFmtId="0" fontId="0" fillId="0" borderId="2" xfId="0" applyBorder="1" applyAlignment="1">
      <alignment horizontal="left"/>
    </xf>
    <xf numFmtId="0" fontId="0" fillId="0" borderId="0" xfId="0" applyAlignment="1">
      <alignment horizontal="right" indent="2"/>
    </xf>
    <xf numFmtId="0" fontId="0" fillId="0" borderId="2" xfId="0" applyBorder="1" applyAlignment="1">
      <alignment horizontal="right" indent="2"/>
    </xf>
    <xf numFmtId="0" fontId="4" fillId="0" borderId="0" xfId="0" applyFont="1" applyAlignment="1">
      <alignment horizontal="right" indent="2"/>
    </xf>
    <xf numFmtId="3" fontId="0" fillId="0" borderId="0" xfId="0" applyNumberFormat="1">
      <alignment horizontal="righ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/>
    </xf>
    <xf numFmtId="177" fontId="0" fillId="0" borderId="0" xfId="0" applyNumberFormat="1">
      <alignment horizontal="right"/>
    </xf>
    <xf numFmtId="174" fontId="0" fillId="0" borderId="0" xfId="0" applyNumberFormat="1">
      <alignment horizontal="right"/>
    </xf>
    <xf numFmtId="0" fontId="0" fillId="0" borderId="0" xfId="0" applyAlignment="1">
      <alignment horizontal="left" vertical="top" wrapText="1" indent="2"/>
    </xf>
    <xf numFmtId="171" fontId="0" fillId="0" borderId="0" xfId="0" applyNumberFormat="1">
      <alignment horizontal="right"/>
    </xf>
    <xf numFmtId="179" fontId="0" fillId="0" borderId="0" xfId="0" applyNumberFormat="1">
      <alignment horizontal="right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180" fontId="0" fillId="0" borderId="0" xfId="0" applyNumberFormat="1">
      <alignment horizontal="right"/>
    </xf>
    <xf numFmtId="0" fontId="0" fillId="0" borderId="2" xfId="0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171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180" fontId="0" fillId="0" borderId="0" xfId="0" applyNumberFormat="1" applyAlignment="1">
      <alignment horizontal="right" indent="1"/>
    </xf>
    <xf numFmtId="174" fontId="0" fillId="0" borderId="0" xfId="0" applyNumberFormat="1" applyAlignment="1">
      <alignment horizontal="right" indent="1"/>
    </xf>
    <xf numFmtId="178" fontId="0" fillId="0" borderId="0" xfId="0" applyNumberFormat="1" applyAlignment="1">
      <alignment horizontal="right" indent="1"/>
    </xf>
    <xf numFmtId="6" fontId="0" fillId="0" borderId="0" xfId="0" applyNumberFormat="1" applyAlignment="1">
      <alignment horizontal="right" indent="1"/>
    </xf>
    <xf numFmtId="0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NumberFormat="1" applyAlignment="1">
      <alignment horizontal="left" indent="1"/>
    </xf>
    <xf numFmtId="0" fontId="0" fillId="0" borderId="2" xfId="0" applyBorder="1">
      <alignment horizontal="right"/>
    </xf>
    <xf numFmtId="0" fontId="0" fillId="0" borderId="1" xfId="0" applyBorder="1" applyAlignment="1">
      <alignment horizontal="left"/>
    </xf>
    <xf numFmtId="0" fontId="0" fillId="0" borderId="0" xfId="0" applyNumberFormat="1">
      <alignment horizontal="right"/>
    </xf>
    <xf numFmtId="168" fontId="0" fillId="0" borderId="0" xfId="0" applyNumberFormat="1">
      <alignment horizontal="right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right"/>
    </xf>
    <xf numFmtId="10" fontId="0" fillId="0" borderId="0" xfId="0" applyNumberFormat="1" applyAlignment="1">
      <alignment horizontal="left"/>
    </xf>
    <xf numFmtId="17" fontId="3" fillId="0" borderId="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right" indent="3"/>
    </xf>
    <xf numFmtId="0" fontId="4" fillId="0" borderId="0" xfId="0" applyFont="1" applyAlignment="1">
      <alignment horizontal="right" indent="3"/>
    </xf>
    <xf numFmtId="0" fontId="0" fillId="0" borderId="2" xfId="0" applyBorder="1" applyAlignment="1">
      <alignment horizontal="right" indent="3"/>
    </xf>
    <xf numFmtId="176" fontId="0" fillId="0" borderId="0" xfId="0" applyNumberFormat="1">
      <alignment horizontal="right"/>
    </xf>
    <xf numFmtId="49" fontId="0" fillId="0" borderId="0" xfId="0" applyNumberFormat="1">
      <alignment horizontal="right"/>
    </xf>
    <xf numFmtId="0" fontId="0" fillId="0" borderId="0" xfId="0" applyNumberFormat="1" applyAlignment="1">
      <alignment horizontal="right" indent="1"/>
    </xf>
    <xf numFmtId="0" fontId="0" fillId="0" borderId="0" xfId="0" applyAlignment="1">
      <alignment horizontal="justify" vertical="top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74" fontId="0" fillId="0" borderId="0" xfId="2" applyNumberFormat="1" applyFont="1" applyAlignment="1">
      <alignment horizontal="right"/>
    </xf>
    <xf numFmtId="0" fontId="9" fillId="0" borderId="0" xfId="0" applyFont="1" applyAlignment="1">
      <alignment horizontal="left"/>
    </xf>
    <xf numFmtId="9" fontId="10" fillId="0" borderId="0" xfId="2" applyFont="1"/>
    <xf numFmtId="0" fontId="14" fillId="0" borderId="0" xfId="0" applyFont="1" applyAlignment="1"/>
    <xf numFmtId="0" fontId="12" fillId="0" borderId="4" xfId="0" applyFont="1" applyBorder="1" applyAlignment="1"/>
    <xf numFmtId="0" fontId="11" fillId="4" borderId="0" xfId="0" applyFont="1" applyFill="1" applyAlignment="1"/>
    <xf numFmtId="44" fontId="0" fillId="0" borderId="0" xfId="1" applyFont="1" applyAlignment="1">
      <alignment horizontal="right"/>
    </xf>
    <xf numFmtId="44" fontId="0" fillId="0" borderId="0" xfId="0" applyNumberFormat="1">
      <alignment horizontal="right"/>
    </xf>
    <xf numFmtId="44" fontId="12" fillId="0" borderId="4" xfId="0" applyNumberFormat="1" applyFont="1" applyBorder="1" applyAlignment="1"/>
    <xf numFmtId="0" fontId="10" fillId="0" borderId="0" xfId="0" applyFont="1" applyAlignment="1"/>
    <xf numFmtId="44" fontId="15" fillId="0" borderId="0" xfId="0" applyNumberFormat="1" applyFont="1" applyFill="1">
      <alignment horizontal="right"/>
    </xf>
    <xf numFmtId="0" fontId="16" fillId="0" borderId="0" xfId="0" applyFont="1">
      <alignment horizontal="right"/>
    </xf>
    <xf numFmtId="0" fontId="17" fillId="0" borderId="0" xfId="0" applyFont="1">
      <alignment horizontal="right"/>
    </xf>
    <xf numFmtId="0" fontId="16" fillId="4" borderId="0" xfId="0" applyFont="1" applyFill="1">
      <alignment horizontal="right"/>
    </xf>
    <xf numFmtId="0" fontId="16" fillId="0" borderId="0" xfId="0" applyFont="1" applyAlignment="1"/>
    <xf numFmtId="44" fontId="16" fillId="0" borderId="0" xfId="1" applyFont="1" applyAlignment="1">
      <alignment horizontal="righ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/>
    </xf>
    <xf numFmtId="44" fontId="16" fillId="0" borderId="0" xfId="1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44" fontId="16" fillId="0" borderId="4" xfId="0" applyNumberFormat="1" applyFont="1" applyBorder="1" applyAlignment="1">
      <alignment horizontal="left"/>
    </xf>
    <xf numFmtId="44" fontId="16" fillId="0" borderId="0" xfId="0" applyNumberFormat="1" applyFont="1">
      <alignment horizontal="right"/>
    </xf>
    <xf numFmtId="44" fontId="16" fillId="0" borderId="4" xfId="1" applyFont="1" applyBorder="1" applyAlignment="1">
      <alignment horizontal="left"/>
    </xf>
    <xf numFmtId="0" fontId="11" fillId="5" borderId="0" xfId="0" applyFont="1" applyFill="1" applyAlignment="1"/>
    <xf numFmtId="44" fontId="11" fillId="5" borderId="0" xfId="1" applyFont="1" applyFill="1" applyAlignment="1"/>
    <xf numFmtId="0" fontId="18" fillId="2" borderId="3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10" fontId="16" fillId="0" borderId="3" xfId="2" applyNumberFormat="1" applyFont="1" applyBorder="1" applyAlignment="1">
      <alignment horizontal="center" vertical="center"/>
    </xf>
    <xf numFmtId="10" fontId="16" fillId="0" borderId="3" xfId="0" applyNumberFormat="1" applyFont="1" applyBorder="1" applyAlignment="1">
      <alignment horizontal="center" vertical="center"/>
    </xf>
    <xf numFmtId="0" fontId="19" fillId="0" borderId="0" xfId="0" applyFont="1">
      <alignment horizontal="right"/>
    </xf>
    <xf numFmtId="0" fontId="20" fillId="0" borderId="0" xfId="0" applyFont="1">
      <alignment horizontal="right"/>
    </xf>
    <xf numFmtId="9" fontId="0" fillId="0" borderId="0" xfId="0" applyNumberFormat="1">
      <alignment horizontal="right"/>
    </xf>
    <xf numFmtId="9" fontId="0" fillId="0" borderId="0" xfId="0" applyNumberFormat="1" applyAlignment="1">
      <alignment horizontal="left"/>
    </xf>
    <xf numFmtId="0" fontId="15" fillId="5" borderId="0" xfId="0" applyFont="1" applyFill="1" applyAlignment="1">
      <alignment horizontal="left"/>
    </xf>
    <xf numFmtId="0" fontId="15" fillId="5" borderId="0" xfId="0" applyFont="1" applyFill="1">
      <alignment horizontal="right"/>
    </xf>
    <xf numFmtId="44" fontId="15" fillId="5" borderId="0" xfId="0" applyNumberFormat="1" applyFont="1" applyFill="1">
      <alignment horizontal="right"/>
    </xf>
    <xf numFmtId="44" fontId="20" fillId="0" borderId="3" xfId="0" applyNumberFormat="1" applyFont="1" applyBorder="1" applyAlignment="1">
      <alignment horizontal="left"/>
    </xf>
    <xf numFmtId="44" fontId="20" fillId="0" borderId="3" xfId="1" applyFont="1" applyBorder="1" applyAlignment="1">
      <alignment horizontal="right"/>
    </xf>
    <xf numFmtId="10" fontId="20" fillId="0" borderId="3" xfId="0" applyNumberFormat="1" applyFont="1" applyBorder="1" applyAlignment="1">
      <alignment horizontal="right"/>
    </xf>
    <xf numFmtId="9" fontId="20" fillId="0" borderId="3" xfId="0" applyNumberFormat="1" applyFont="1" applyBorder="1" applyAlignment="1">
      <alignment horizontal="right"/>
    </xf>
    <xf numFmtId="0" fontId="20" fillId="0" borderId="3" xfId="0" applyFont="1" applyBorder="1" applyAlignment="1">
      <alignment horizontal="right"/>
    </xf>
    <xf numFmtId="2" fontId="20" fillId="0" borderId="3" xfId="0" applyNumberFormat="1" applyFont="1" applyBorder="1" applyAlignment="1">
      <alignment horizontal="right"/>
    </xf>
    <xf numFmtId="44" fontId="20" fillId="0" borderId="3" xfId="0" applyNumberFormat="1" applyFont="1" applyBorder="1" applyAlignment="1">
      <alignment horizontal="right"/>
    </xf>
    <xf numFmtId="0" fontId="20" fillId="3" borderId="3" xfId="0" applyFont="1" applyFill="1" applyBorder="1" applyAlignment="1">
      <alignment horizontal="left"/>
    </xf>
    <xf numFmtId="44" fontId="15" fillId="5" borderId="0" xfId="1" applyFont="1" applyFill="1" applyAlignment="1">
      <alignment horizontal="left"/>
    </xf>
    <xf numFmtId="9" fontId="0" fillId="3" borderId="3" xfId="2" applyFont="1" applyFill="1" applyBorder="1" applyAlignment="1">
      <alignment horizontal="right"/>
    </xf>
    <xf numFmtId="0" fontId="0" fillId="3" borderId="3" xfId="0" applyNumberFormat="1" applyFill="1" applyBorder="1" applyAlignment="1">
      <alignment horizontal="center"/>
    </xf>
    <xf numFmtId="44" fontId="0" fillId="0" borderId="3" xfId="1" applyFont="1" applyBorder="1" applyAlignment="1">
      <alignment horizontal="right"/>
    </xf>
    <xf numFmtId="0" fontId="13" fillId="2" borderId="3" xfId="0" applyFont="1" applyFill="1" applyBorder="1" applyAlignment="1">
      <alignment horizontal="center"/>
    </xf>
    <xf numFmtId="44" fontId="3" fillId="0" borderId="3" xfId="1" applyFont="1" applyBorder="1" applyAlignment="1">
      <alignment horizontal="right"/>
    </xf>
    <xf numFmtId="44" fontId="0" fillId="6" borderId="3" xfId="1" applyFont="1" applyFill="1" applyBorder="1" applyAlignment="1">
      <alignment horizontal="right"/>
    </xf>
    <xf numFmtId="44" fontId="0" fillId="7" borderId="3" xfId="1" applyFont="1" applyFill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481D-0D05-E54E-9558-CD349302432D}">
  <sheetPr codeName="Sheet1"/>
  <dimension ref="A1:I5"/>
  <sheetViews>
    <sheetView workbookViewId="0"/>
  </sheetViews>
  <sheetFormatPr baseColWidth="10" defaultRowHeight="13" x14ac:dyDescent="0.15"/>
  <cols>
    <col min="1" max="1" width="58.33203125" customWidth="1"/>
    <col min="2" max="256" width="8.83203125" customWidth="1"/>
  </cols>
  <sheetData>
    <row r="1" spans="1:9" x14ac:dyDescent="0.15">
      <c r="A1" s="1" t="s">
        <v>143</v>
      </c>
    </row>
    <row r="2" spans="1:9" x14ac:dyDescent="0.15">
      <c r="A2" s="1" t="s">
        <v>144</v>
      </c>
    </row>
    <row r="3" spans="1:9" x14ac:dyDescent="0.15">
      <c r="A3" s="1" t="s">
        <v>145</v>
      </c>
    </row>
    <row r="5" spans="1:9" ht="52.5" customHeight="1" x14ac:dyDescent="0.15">
      <c r="A5" s="47" t="s">
        <v>0</v>
      </c>
      <c r="B5" s="47"/>
      <c r="C5" s="47"/>
      <c r="D5" s="47"/>
      <c r="E5" s="47"/>
      <c r="F5" s="47"/>
      <c r="G5" s="47"/>
      <c r="H5" s="47"/>
      <c r="I5" s="47"/>
    </row>
  </sheetData>
  <mergeCells count="1">
    <mergeCell ref="A5:I5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6B51-E3A7-3A49-85D1-D8C0D2163C4E}">
  <dimension ref="A1:D11"/>
  <sheetViews>
    <sheetView workbookViewId="0">
      <selection sqref="A1:D1"/>
    </sheetView>
  </sheetViews>
  <sheetFormatPr baseColWidth="10" defaultRowHeight="13" x14ac:dyDescent="0.15"/>
  <cols>
    <col min="1" max="1" width="28.33203125" customWidth="1"/>
    <col min="2" max="2" width="11.33203125" customWidth="1"/>
    <col min="3" max="3" width="14" customWidth="1"/>
    <col min="4" max="4" width="16" customWidth="1"/>
    <col min="5" max="256" width="8.83203125" customWidth="1"/>
  </cols>
  <sheetData>
    <row r="1" spans="1:4" x14ac:dyDescent="0.15">
      <c r="A1" s="48" t="s">
        <v>132</v>
      </c>
      <c r="B1" s="49"/>
      <c r="C1" s="49"/>
      <c r="D1" s="49"/>
    </row>
    <row r="3" spans="1:4" x14ac:dyDescent="0.15">
      <c r="A3" s="3"/>
      <c r="B3" s="21" t="s">
        <v>1</v>
      </c>
      <c r="C3" s="21" t="s">
        <v>2</v>
      </c>
      <c r="D3" s="21" t="s">
        <v>3</v>
      </c>
    </row>
    <row r="4" spans="1:4" x14ac:dyDescent="0.15">
      <c r="A4" s="1"/>
    </row>
    <row r="5" spans="1:4" x14ac:dyDescent="0.15">
      <c r="A5" s="1" t="s">
        <v>4</v>
      </c>
      <c r="B5" s="5">
        <v>73.599999999999994</v>
      </c>
      <c r="C5" s="5">
        <v>381.1</v>
      </c>
      <c r="D5" s="41">
        <v>137.1</v>
      </c>
    </row>
    <row r="6" spans="1:4" x14ac:dyDescent="0.15">
      <c r="A6" s="1" t="s">
        <v>5</v>
      </c>
      <c r="B6" s="5">
        <v>7.9</v>
      </c>
      <c r="C6" s="5">
        <v>61.5</v>
      </c>
      <c r="D6" s="41">
        <v>18.100000000000001</v>
      </c>
    </row>
    <row r="7" spans="1:4" x14ac:dyDescent="0.15">
      <c r="A7" s="1" t="s">
        <v>6</v>
      </c>
      <c r="B7" s="7">
        <v>15.8</v>
      </c>
      <c r="C7" s="7">
        <v>58.5</v>
      </c>
      <c r="D7" s="42">
        <v>25.6</v>
      </c>
    </row>
    <row r="8" spans="1:4" x14ac:dyDescent="0.15">
      <c r="A8" s="1" t="s">
        <v>7</v>
      </c>
      <c r="B8" s="5">
        <v>97.3</v>
      </c>
      <c r="C8" s="5">
        <v>501.1</v>
      </c>
      <c r="D8" s="41">
        <v>180.8</v>
      </c>
    </row>
    <row r="9" spans="1:4" x14ac:dyDescent="0.15">
      <c r="A9" s="1" t="s">
        <v>8</v>
      </c>
      <c r="B9" s="5">
        <v>14.1</v>
      </c>
      <c r="C9" s="5">
        <v>70.400000000000006</v>
      </c>
      <c r="D9" s="41">
        <v>25.8</v>
      </c>
    </row>
    <row r="10" spans="1:4" x14ac:dyDescent="0.15">
      <c r="A10" s="1" t="s">
        <v>9</v>
      </c>
      <c r="B10" s="7">
        <v>44.5</v>
      </c>
      <c r="C10" s="7">
        <v>75.400000000000006</v>
      </c>
      <c r="D10" s="42">
        <v>57.1</v>
      </c>
    </row>
    <row r="11" spans="1:4" x14ac:dyDescent="0.15">
      <c r="A11" s="4" t="s">
        <v>10</v>
      </c>
      <c r="B11" s="6">
        <v>155.9</v>
      </c>
      <c r="C11" s="6">
        <v>646.9</v>
      </c>
      <c r="D11" s="43">
        <v>263.7</v>
      </c>
    </row>
  </sheetData>
  <mergeCells count="1">
    <mergeCell ref="A1:D1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643B-D9EB-FF4D-A226-DB12B2B47FBB}">
  <dimension ref="A1:F45"/>
  <sheetViews>
    <sheetView workbookViewId="0">
      <selection activeCell="M7" sqref="M7"/>
    </sheetView>
  </sheetViews>
  <sheetFormatPr baseColWidth="10" defaultRowHeight="13" x14ac:dyDescent="0.15"/>
  <cols>
    <col min="1" max="1" width="35.33203125" customWidth="1"/>
    <col min="2" max="256" width="8.83203125" customWidth="1"/>
  </cols>
  <sheetData>
    <row r="1" spans="1:6" ht="28.5" customHeight="1" x14ac:dyDescent="0.15">
      <c r="A1" s="50" t="s">
        <v>48</v>
      </c>
      <c r="B1" s="51"/>
      <c r="C1" s="51"/>
      <c r="D1" s="51"/>
      <c r="E1" s="51"/>
      <c r="F1" s="51"/>
    </row>
    <row r="2" spans="1:6" x14ac:dyDescent="0.15">
      <c r="A2" s="1"/>
    </row>
    <row r="3" spans="1:6" x14ac:dyDescent="0.15">
      <c r="A3" s="17"/>
      <c r="B3" s="3">
        <v>1986</v>
      </c>
      <c r="C3" s="3">
        <v>1987</v>
      </c>
      <c r="D3" s="3">
        <v>1988</v>
      </c>
      <c r="E3" s="3">
        <v>1989</v>
      </c>
      <c r="F3" s="3">
        <v>1990</v>
      </c>
    </row>
    <row r="4" spans="1:6" ht="14" x14ac:dyDescent="0.15">
      <c r="A4" s="9" t="s">
        <v>11</v>
      </c>
    </row>
    <row r="5" spans="1:6" ht="14" x14ac:dyDescent="0.15">
      <c r="A5" s="10" t="s">
        <v>12</v>
      </c>
      <c r="B5" s="12">
        <v>18281</v>
      </c>
      <c r="C5" s="12">
        <v>20174</v>
      </c>
      <c r="D5" s="12">
        <v>21150</v>
      </c>
      <c r="E5" s="12">
        <v>23966</v>
      </c>
      <c r="F5" s="12">
        <v>28010</v>
      </c>
    </row>
    <row r="6" spans="1:6" ht="14" x14ac:dyDescent="0.15">
      <c r="A6" s="10" t="s">
        <v>13</v>
      </c>
      <c r="B6" s="8">
        <v>2064</v>
      </c>
      <c r="C6" s="8">
        <v>2282</v>
      </c>
      <c r="D6" s="8">
        <v>2769</v>
      </c>
      <c r="E6" s="8">
        <v>2794</v>
      </c>
      <c r="F6" s="8">
        <v>3571</v>
      </c>
    </row>
    <row r="7" spans="1:6" ht="14" x14ac:dyDescent="0.15">
      <c r="A7" s="14" t="s">
        <v>14</v>
      </c>
      <c r="B7" s="8">
        <v>20345</v>
      </c>
      <c r="C7" s="8">
        <v>22456</v>
      </c>
      <c r="D7" s="8">
        <v>23919</v>
      </c>
      <c r="E7" s="8">
        <v>26760</v>
      </c>
      <c r="F7" s="8">
        <v>31581</v>
      </c>
    </row>
    <row r="8" spans="1:6" ht="28" x14ac:dyDescent="0.15">
      <c r="A8" s="10" t="s">
        <v>49</v>
      </c>
      <c r="B8" s="8">
        <v>7593</v>
      </c>
      <c r="C8" s="8">
        <v>8970</v>
      </c>
      <c r="D8" s="8">
        <v>8471</v>
      </c>
      <c r="E8" s="8">
        <v>10619</v>
      </c>
      <c r="F8" s="8">
        <v>13697</v>
      </c>
    </row>
    <row r="9" spans="1:6" ht="14" x14ac:dyDescent="0.15">
      <c r="A9" s="10" t="s">
        <v>15</v>
      </c>
      <c r="B9" s="8">
        <v>3451</v>
      </c>
      <c r="C9" s="8">
        <v>3370</v>
      </c>
      <c r="D9" s="8">
        <v>3915</v>
      </c>
      <c r="E9" s="8">
        <v>4380</v>
      </c>
      <c r="F9" s="8">
        <v>5395</v>
      </c>
    </row>
    <row r="10" spans="1:6" ht="14" x14ac:dyDescent="0.15">
      <c r="A10" s="10" t="s">
        <v>16</v>
      </c>
      <c r="B10">
        <v>925</v>
      </c>
      <c r="C10">
        <v>647</v>
      </c>
      <c r="D10">
        <v>767</v>
      </c>
      <c r="E10">
        <v>726</v>
      </c>
      <c r="F10">
        <v>693</v>
      </c>
    </row>
    <row r="11" spans="1:6" ht="14" x14ac:dyDescent="0.15">
      <c r="A11" s="10" t="s">
        <v>17</v>
      </c>
      <c r="B11" s="8">
        <v>1358</v>
      </c>
      <c r="C11" s="8">
        <v>1424</v>
      </c>
      <c r="D11" s="8">
        <v>1466</v>
      </c>
      <c r="E11" s="8">
        <v>1888</v>
      </c>
      <c r="F11" s="8">
        <v>1991</v>
      </c>
    </row>
    <row r="12" spans="1:6" ht="14" x14ac:dyDescent="0.15">
      <c r="A12" s="10" t="s">
        <v>18</v>
      </c>
      <c r="B12" s="8">
        <v>2592</v>
      </c>
      <c r="C12" s="8">
        <v>2840</v>
      </c>
      <c r="D12" s="8">
        <v>3207</v>
      </c>
      <c r="E12" s="8">
        <v>3224</v>
      </c>
      <c r="F12" s="8">
        <v>3395</v>
      </c>
    </row>
    <row r="13" spans="1:6" ht="14" x14ac:dyDescent="0.15">
      <c r="A13" s="10" t="s">
        <v>19</v>
      </c>
      <c r="B13" s="8">
        <v>2418</v>
      </c>
      <c r="C13" s="8">
        <v>2295</v>
      </c>
      <c r="D13" s="8">
        <v>2318</v>
      </c>
      <c r="E13" s="8">
        <v>2500</v>
      </c>
      <c r="F13" s="8">
        <v>2413</v>
      </c>
    </row>
    <row r="14" spans="1:6" ht="14" x14ac:dyDescent="0.15">
      <c r="A14" s="10" t="s">
        <v>20</v>
      </c>
      <c r="B14">
        <v>468</v>
      </c>
      <c r="C14">
        <v>410</v>
      </c>
      <c r="D14">
        <v>468</v>
      </c>
      <c r="E14">
        <v>728</v>
      </c>
      <c r="F14">
        <v>587</v>
      </c>
    </row>
    <row r="15" spans="1:6" ht="14" x14ac:dyDescent="0.15">
      <c r="A15" s="14" t="s">
        <v>21</v>
      </c>
      <c r="B15" s="8">
        <v>18805</v>
      </c>
      <c r="C15" s="8">
        <v>19956</v>
      </c>
      <c r="D15" s="8">
        <v>20612</v>
      </c>
      <c r="E15" s="8">
        <v>24065</v>
      </c>
      <c r="F15" s="8">
        <v>28171</v>
      </c>
    </row>
    <row r="16" spans="1:6" ht="14" x14ac:dyDescent="0.15">
      <c r="A16" s="10" t="s">
        <v>22</v>
      </c>
      <c r="B16" s="8">
        <v>1540</v>
      </c>
      <c r="C16" s="8">
        <v>2500</v>
      </c>
      <c r="D16" s="8">
        <v>3307</v>
      </c>
      <c r="E16" s="8">
        <v>2695</v>
      </c>
      <c r="F16" s="8">
        <v>3410</v>
      </c>
    </row>
    <row r="17" spans="1:6" ht="14" x14ac:dyDescent="0.15">
      <c r="A17" s="10" t="s">
        <v>23</v>
      </c>
      <c r="B17">
        <v>793</v>
      </c>
      <c r="C17" s="8">
        <v>1140</v>
      </c>
      <c r="D17" s="8">
        <v>1244</v>
      </c>
      <c r="E17" s="8">
        <v>1085</v>
      </c>
      <c r="F17" s="8">
        <v>1497</v>
      </c>
    </row>
    <row r="18" spans="1:6" x14ac:dyDescent="0.15">
      <c r="A18" s="10"/>
    </row>
    <row r="19" spans="1:6" ht="14" x14ac:dyDescent="0.15">
      <c r="A19" s="10" t="s">
        <v>24</v>
      </c>
      <c r="B19">
        <v>747</v>
      </c>
      <c r="C19" s="8">
        <v>1360</v>
      </c>
      <c r="D19" s="8">
        <v>2063</v>
      </c>
      <c r="E19" s="8">
        <v>1610</v>
      </c>
      <c r="F19" s="8">
        <v>1913</v>
      </c>
    </row>
    <row r="20" spans="1:6" x14ac:dyDescent="0.15">
      <c r="A20" s="10"/>
    </row>
    <row r="21" spans="1:6" ht="14" x14ac:dyDescent="0.15">
      <c r="A21" s="9" t="s">
        <v>25</v>
      </c>
    </row>
    <row r="22" spans="1:6" ht="14" x14ac:dyDescent="0.15">
      <c r="A22" s="10" t="s">
        <v>26</v>
      </c>
      <c r="B22" s="8">
        <v>4200</v>
      </c>
      <c r="C22" s="8">
        <v>5899</v>
      </c>
      <c r="D22" s="8">
        <v>5393</v>
      </c>
      <c r="E22" s="8">
        <v>6428</v>
      </c>
      <c r="F22" s="8">
        <v>8216</v>
      </c>
    </row>
    <row r="23" spans="1:6" ht="14" x14ac:dyDescent="0.15">
      <c r="A23" s="10" t="s">
        <v>27</v>
      </c>
      <c r="B23" s="8">
        <v>1337</v>
      </c>
      <c r="C23" s="8">
        <v>1072</v>
      </c>
      <c r="D23" s="8">
        <v>1431</v>
      </c>
      <c r="E23" s="8">
        <v>1355</v>
      </c>
      <c r="F23" s="8">
        <v>1287</v>
      </c>
    </row>
    <row r="24" spans="1:6" ht="14" x14ac:dyDescent="0.15">
      <c r="A24" s="10" t="s">
        <v>28</v>
      </c>
      <c r="B24" s="8">
        <v>18169</v>
      </c>
      <c r="C24" s="8">
        <v>18151</v>
      </c>
      <c r="D24" s="8">
        <v>23095</v>
      </c>
      <c r="E24" s="8">
        <v>22647</v>
      </c>
      <c r="F24" s="8">
        <v>22706</v>
      </c>
    </row>
    <row r="25" spans="1:6" ht="14" x14ac:dyDescent="0.15">
      <c r="A25" s="10" t="s">
        <v>29</v>
      </c>
      <c r="B25" s="8">
        <v>23706</v>
      </c>
      <c r="C25" s="8">
        <v>25122</v>
      </c>
      <c r="D25" s="8">
        <v>29919</v>
      </c>
      <c r="E25" s="8">
        <v>30430</v>
      </c>
      <c r="F25" s="8">
        <v>32209</v>
      </c>
    </row>
    <row r="26" spans="1:6" x14ac:dyDescent="0.15">
      <c r="A26" s="10"/>
    </row>
    <row r="27" spans="1:6" ht="14" x14ac:dyDescent="0.15">
      <c r="A27" s="10" t="s">
        <v>30</v>
      </c>
      <c r="B27" s="8">
        <v>4180</v>
      </c>
      <c r="C27" s="8">
        <v>4503</v>
      </c>
      <c r="D27" s="8">
        <v>4799</v>
      </c>
      <c r="E27" s="8">
        <v>5148</v>
      </c>
      <c r="F27" s="8">
        <v>6092</v>
      </c>
    </row>
    <row r="28" spans="1:6" ht="14" x14ac:dyDescent="0.15">
      <c r="A28" s="10" t="s">
        <v>31</v>
      </c>
      <c r="B28">
        <v>174</v>
      </c>
      <c r="C28">
        <v>468</v>
      </c>
      <c r="D28">
        <v>444</v>
      </c>
      <c r="E28">
        <v>483</v>
      </c>
      <c r="F28">
        <v>492</v>
      </c>
    </row>
    <row r="29" spans="1:6" ht="14" x14ac:dyDescent="0.15">
      <c r="A29" s="10" t="s">
        <v>32</v>
      </c>
      <c r="B29" s="8">
        <v>3556</v>
      </c>
      <c r="C29" s="8">
        <v>3303</v>
      </c>
      <c r="D29" s="8">
        <v>6274</v>
      </c>
      <c r="E29" s="8">
        <v>5915</v>
      </c>
      <c r="F29" s="8">
        <v>5464</v>
      </c>
    </row>
    <row r="30" spans="1:6" ht="14" x14ac:dyDescent="0.15">
      <c r="A30" s="10" t="s">
        <v>33</v>
      </c>
      <c r="B30" s="8">
        <v>4472</v>
      </c>
      <c r="C30" s="8">
        <v>4741</v>
      </c>
      <c r="D30" s="8">
        <v>5060</v>
      </c>
      <c r="E30" s="8">
        <v>5200</v>
      </c>
      <c r="F30" s="8">
        <v>6093</v>
      </c>
    </row>
    <row r="31" spans="1:6" x14ac:dyDescent="0.15">
      <c r="A31" s="10"/>
    </row>
    <row r="32" spans="1:6" ht="14" x14ac:dyDescent="0.15">
      <c r="A32" s="10" t="s">
        <v>34</v>
      </c>
      <c r="B32" s="8">
        <v>11324</v>
      </c>
      <c r="C32" s="8">
        <v>12107</v>
      </c>
      <c r="D32" s="8">
        <v>13342</v>
      </c>
      <c r="E32" s="8">
        <v>13684</v>
      </c>
      <c r="F32" s="8">
        <v>14068</v>
      </c>
    </row>
    <row r="33" spans="1:6" x14ac:dyDescent="0.15">
      <c r="A33" s="10"/>
    </row>
    <row r="34" spans="1:6" ht="14" x14ac:dyDescent="0.15">
      <c r="A34" s="9" t="s">
        <v>35</v>
      </c>
    </row>
    <row r="35" spans="1:6" ht="14" x14ac:dyDescent="0.15">
      <c r="A35" s="10" t="s">
        <v>36</v>
      </c>
      <c r="B35" s="13">
        <v>4.1000000000000002E-2</v>
      </c>
      <c r="C35" s="13">
        <v>6.7000000000000004E-2</v>
      </c>
      <c r="D35" s="13">
        <v>9.8000000000000004E-2</v>
      </c>
      <c r="E35" s="13">
        <v>6.7000000000000004E-2</v>
      </c>
      <c r="F35" s="13">
        <v>6.8000000000000005E-2</v>
      </c>
    </row>
    <row r="36" spans="1:6" ht="14" x14ac:dyDescent="0.15">
      <c r="A36" s="10" t="s">
        <v>37</v>
      </c>
      <c r="B36" s="13">
        <v>3.2000000000000001E-2</v>
      </c>
      <c r="C36" s="13">
        <v>5.3999999999999999E-2</v>
      </c>
      <c r="D36" s="13">
        <v>6.9000000000000006E-2</v>
      </c>
      <c r="E36" s="13">
        <v>5.2999999999999999E-2</v>
      </c>
      <c r="F36" s="13">
        <v>5.8999999999999997E-2</v>
      </c>
    </row>
    <row r="37" spans="1:6" ht="14" x14ac:dyDescent="0.15">
      <c r="A37" s="10" t="s">
        <v>38</v>
      </c>
      <c r="B37" s="13">
        <v>6.5000000000000002E-2</v>
      </c>
      <c r="C37" s="13">
        <v>0.11600000000000001</v>
      </c>
      <c r="D37" s="13">
        <v>0.16200000000000001</v>
      </c>
      <c r="E37" s="13">
        <v>0.11899999999999999</v>
      </c>
      <c r="F37" s="13">
        <v>0.13800000000000001</v>
      </c>
    </row>
    <row r="38" spans="1:6" ht="14" x14ac:dyDescent="0.15">
      <c r="A38" s="10" t="s">
        <v>39</v>
      </c>
      <c r="B38">
        <v>0.9</v>
      </c>
      <c r="C38">
        <v>1.1000000000000001</v>
      </c>
      <c r="D38" s="15">
        <v>1</v>
      </c>
      <c r="E38">
        <v>1.1000000000000001</v>
      </c>
      <c r="F38">
        <v>1.2</v>
      </c>
    </row>
    <row r="39" spans="1:6" ht="14" x14ac:dyDescent="0.15">
      <c r="A39" s="10" t="s">
        <v>40</v>
      </c>
      <c r="B39" s="13">
        <v>0.191</v>
      </c>
      <c r="C39" s="13">
        <v>0.221</v>
      </c>
      <c r="D39" s="13">
        <v>0.32400000000000001</v>
      </c>
      <c r="E39" s="13">
        <v>0.308</v>
      </c>
      <c r="F39" s="13">
        <v>0.28799999999999998</v>
      </c>
    </row>
    <row r="40" spans="1:6" ht="14" x14ac:dyDescent="0.15">
      <c r="A40" s="10" t="s">
        <v>41</v>
      </c>
      <c r="B40">
        <v>7.4</v>
      </c>
      <c r="C40">
        <v>8.3000000000000007</v>
      </c>
      <c r="D40">
        <v>8.8000000000000007</v>
      </c>
      <c r="E40">
        <v>5.3</v>
      </c>
      <c r="F40">
        <v>7.4</v>
      </c>
    </row>
    <row r="41" spans="1:6" ht="14" x14ac:dyDescent="0.15">
      <c r="A41" s="10" t="s">
        <v>42</v>
      </c>
      <c r="B41" t="s">
        <v>43</v>
      </c>
      <c r="C41" t="s">
        <v>43</v>
      </c>
      <c r="D41" t="s">
        <v>43</v>
      </c>
      <c r="E41" t="s">
        <v>43</v>
      </c>
      <c r="F41" t="s">
        <v>43</v>
      </c>
    </row>
    <row r="42" spans="1:6" ht="14" x14ac:dyDescent="0.15">
      <c r="A42" s="10" t="s">
        <v>44</v>
      </c>
      <c r="B42">
        <v>22.59</v>
      </c>
      <c r="C42">
        <v>14.7</v>
      </c>
      <c r="D42" s="44">
        <v>10</v>
      </c>
      <c r="E42">
        <v>14.4</v>
      </c>
      <c r="F42">
        <v>15.4</v>
      </c>
    </row>
    <row r="43" spans="1:6" ht="14" x14ac:dyDescent="0.15">
      <c r="A43" s="10" t="s">
        <v>45</v>
      </c>
      <c r="B43" s="16">
        <v>6.3</v>
      </c>
      <c r="C43" s="16">
        <v>7.1</v>
      </c>
      <c r="D43" s="16">
        <v>8.1</v>
      </c>
      <c r="E43" s="16">
        <v>8</v>
      </c>
      <c r="F43" s="16">
        <v>8.3000000000000007</v>
      </c>
    </row>
    <row r="44" spans="1:6" ht="14" x14ac:dyDescent="0.15">
      <c r="A44" s="10" t="s">
        <v>46</v>
      </c>
      <c r="B44" s="15">
        <v>502</v>
      </c>
      <c r="C44">
        <v>515.29999999999995</v>
      </c>
      <c r="D44">
        <v>517.1</v>
      </c>
      <c r="E44">
        <v>511.5</v>
      </c>
      <c r="F44" s="15">
        <v>502</v>
      </c>
    </row>
    <row r="45" spans="1:6" ht="14" x14ac:dyDescent="0.15">
      <c r="A45" s="10" t="s">
        <v>47</v>
      </c>
      <c r="B45" s="45" t="s">
        <v>133</v>
      </c>
      <c r="C45" s="45" t="s">
        <v>134</v>
      </c>
      <c r="D45" s="45" t="s">
        <v>135</v>
      </c>
      <c r="E45" s="45" t="s">
        <v>136</v>
      </c>
      <c r="F45" s="45" t="s">
        <v>137</v>
      </c>
    </row>
  </sheetData>
  <mergeCells count="1">
    <mergeCell ref="A1:F1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2710-95DA-714F-AA61-D9B03406803C}">
  <dimension ref="A1:F56"/>
  <sheetViews>
    <sheetView workbookViewId="0">
      <selection activeCell="F52" sqref="F52"/>
    </sheetView>
  </sheetViews>
  <sheetFormatPr baseColWidth="10" defaultRowHeight="13" x14ac:dyDescent="0.15"/>
  <cols>
    <col min="1" max="1" width="36.83203125" customWidth="1"/>
    <col min="2" max="256" width="8.83203125" customWidth="1"/>
  </cols>
  <sheetData>
    <row r="1" spans="1:6" x14ac:dyDescent="0.15">
      <c r="A1" s="48" t="s">
        <v>78</v>
      </c>
      <c r="B1" s="49"/>
      <c r="C1" s="49"/>
      <c r="D1" s="49"/>
      <c r="E1" s="49"/>
      <c r="F1" s="49"/>
    </row>
    <row r="2" spans="1:6" x14ac:dyDescent="0.15">
      <c r="A2" s="1"/>
    </row>
    <row r="3" spans="1:6" x14ac:dyDescent="0.15">
      <c r="A3" s="1"/>
      <c r="B3" s="21">
        <v>1986</v>
      </c>
      <c r="C3" s="21">
        <v>1987</v>
      </c>
      <c r="D3" s="21">
        <v>1988</v>
      </c>
      <c r="E3" s="21">
        <v>1989</v>
      </c>
      <c r="F3" s="21">
        <v>1990</v>
      </c>
    </row>
    <row r="4" spans="1:6" ht="14" x14ac:dyDescent="0.15">
      <c r="A4" s="9" t="s">
        <v>11</v>
      </c>
    </row>
    <row r="5" spans="1:6" ht="14" x14ac:dyDescent="0.15">
      <c r="A5" s="10" t="s">
        <v>50</v>
      </c>
      <c r="B5" s="22">
        <v>106</v>
      </c>
      <c r="C5" s="22">
        <v>100.5</v>
      </c>
      <c r="D5" s="22">
        <v>141.69999999999999</v>
      </c>
      <c r="E5" s="22">
        <v>246.9</v>
      </c>
      <c r="F5" s="22">
        <v>273.39999999999998</v>
      </c>
    </row>
    <row r="6" spans="1:6" x14ac:dyDescent="0.15">
      <c r="A6" s="10"/>
      <c r="B6" s="23"/>
      <c r="C6" s="23"/>
      <c r="D6" s="23"/>
      <c r="E6" s="23"/>
      <c r="F6" s="23"/>
    </row>
    <row r="7" spans="1:6" ht="14" x14ac:dyDescent="0.15">
      <c r="A7" s="9" t="s">
        <v>51</v>
      </c>
      <c r="B7" s="23"/>
      <c r="C7" s="23"/>
      <c r="D7" s="23"/>
      <c r="E7" s="23"/>
      <c r="F7" s="23"/>
    </row>
    <row r="8" spans="1:6" ht="14" x14ac:dyDescent="0.15">
      <c r="A8" s="10" t="s">
        <v>19</v>
      </c>
      <c r="B8" s="23">
        <v>82.1</v>
      </c>
      <c r="C8" s="23">
        <v>184.6</v>
      </c>
      <c r="D8" s="23">
        <v>61.4</v>
      </c>
      <c r="E8" s="23">
        <v>96.3</v>
      </c>
      <c r="F8" s="23">
        <v>116.8</v>
      </c>
    </row>
    <row r="9" spans="1:6" ht="14" x14ac:dyDescent="0.15">
      <c r="A9" s="10" t="s">
        <v>52</v>
      </c>
      <c r="B9" s="23">
        <v>23.5</v>
      </c>
      <c r="C9" s="23">
        <v>25.5</v>
      </c>
      <c r="D9" s="23">
        <v>27.6</v>
      </c>
      <c r="E9" s="23">
        <v>42.5</v>
      </c>
      <c r="F9" s="23">
        <v>44.6</v>
      </c>
    </row>
    <row r="10" spans="1:6" ht="14" x14ac:dyDescent="0.15">
      <c r="A10" s="10" t="s">
        <v>53</v>
      </c>
      <c r="B10" s="23"/>
      <c r="C10" s="23"/>
      <c r="D10" s="23">
        <v>14.4</v>
      </c>
      <c r="E10" s="23">
        <v>31.3</v>
      </c>
      <c r="F10" s="23">
        <v>22.1</v>
      </c>
    </row>
    <row r="11" spans="1:6" ht="14" x14ac:dyDescent="0.15">
      <c r="A11" s="10" t="s">
        <v>54</v>
      </c>
      <c r="B11" s="23">
        <v>14.6</v>
      </c>
      <c r="C11" s="23">
        <v>18.899999999999999</v>
      </c>
      <c r="D11" s="23">
        <v>16.7</v>
      </c>
      <c r="E11" s="23">
        <v>23.4</v>
      </c>
      <c r="F11" s="23">
        <v>21.5</v>
      </c>
    </row>
    <row r="12" spans="1:6" ht="14" x14ac:dyDescent="0.15">
      <c r="A12" s="10" t="s">
        <v>55</v>
      </c>
      <c r="B12" s="23">
        <v>15.9</v>
      </c>
      <c r="C12" s="23">
        <v>15.1</v>
      </c>
      <c r="D12" s="23">
        <v>14.5</v>
      </c>
      <c r="E12" s="23">
        <v>21.4</v>
      </c>
      <c r="F12" s="22">
        <v>11</v>
      </c>
    </row>
    <row r="13" spans="1:6" x14ac:dyDescent="0.15">
      <c r="A13" s="10"/>
      <c r="B13" s="23"/>
      <c r="C13" s="23"/>
      <c r="D13" s="23"/>
      <c r="E13" s="23"/>
      <c r="F13" s="23"/>
    </row>
    <row r="14" spans="1:6" ht="28" x14ac:dyDescent="0.15">
      <c r="A14" s="10" t="s">
        <v>56</v>
      </c>
      <c r="B14" s="24">
        <v>-30.1</v>
      </c>
      <c r="C14" s="24">
        <v>-143.6</v>
      </c>
      <c r="D14" s="23">
        <v>7.1</v>
      </c>
      <c r="E14" s="22">
        <v>32</v>
      </c>
      <c r="F14" s="23">
        <v>57.4</v>
      </c>
    </row>
    <row r="15" spans="1:6" ht="14" x14ac:dyDescent="0.15">
      <c r="A15" s="10" t="s">
        <v>57</v>
      </c>
      <c r="B15" s="24">
        <v>-14.8</v>
      </c>
      <c r="C15" s="24">
        <v>-62.1</v>
      </c>
      <c r="D15" s="23">
        <v>1.6</v>
      </c>
      <c r="E15" s="23">
        <v>9.8000000000000007</v>
      </c>
      <c r="F15" s="23">
        <v>17.2</v>
      </c>
    </row>
    <row r="16" spans="1:6" x14ac:dyDescent="0.15">
      <c r="A16" s="10"/>
      <c r="B16" s="23"/>
      <c r="C16" s="23"/>
      <c r="D16" s="23"/>
      <c r="E16" s="23"/>
      <c r="F16" s="23"/>
    </row>
    <row r="17" spans="1:6" ht="14" x14ac:dyDescent="0.15">
      <c r="A17" s="10" t="s">
        <v>58</v>
      </c>
      <c r="B17" s="24">
        <v>-15.3</v>
      </c>
      <c r="C17" s="24">
        <v>-81.5</v>
      </c>
      <c r="D17" s="23">
        <v>5.5</v>
      </c>
      <c r="E17" s="23">
        <v>22.2</v>
      </c>
      <c r="F17" s="23">
        <v>40.200000000000003</v>
      </c>
    </row>
    <row r="18" spans="1:6" ht="14" x14ac:dyDescent="0.15">
      <c r="A18" s="10" t="s">
        <v>59</v>
      </c>
      <c r="B18" s="23"/>
      <c r="C18" s="23"/>
      <c r="D18" s="23"/>
      <c r="E18" s="23"/>
      <c r="F18" s="23"/>
    </row>
    <row r="19" spans="1:6" ht="28" x14ac:dyDescent="0.15">
      <c r="A19" s="14" t="s">
        <v>60</v>
      </c>
      <c r="B19" s="22">
        <v>4.4000000000000004</v>
      </c>
      <c r="C19" s="22">
        <v>0.6</v>
      </c>
      <c r="D19" s="22">
        <v>2.6</v>
      </c>
      <c r="E19" s="22">
        <v>0</v>
      </c>
      <c r="F19" s="22">
        <v>0</v>
      </c>
    </row>
    <row r="20" spans="1:6" ht="28" x14ac:dyDescent="0.15">
      <c r="A20" s="14" t="s">
        <v>61</v>
      </c>
      <c r="B20" s="22">
        <v>0</v>
      </c>
      <c r="C20" s="22">
        <v>8.8000000000000007</v>
      </c>
      <c r="D20" s="22">
        <v>0</v>
      </c>
      <c r="E20" s="22">
        <v>0</v>
      </c>
      <c r="F20" s="22">
        <v>0</v>
      </c>
    </row>
    <row r="21" spans="1:6" x14ac:dyDescent="0.15">
      <c r="A21" s="10"/>
      <c r="B21" s="23"/>
      <c r="C21" s="23"/>
      <c r="D21" s="23"/>
      <c r="E21" s="23"/>
      <c r="F21" s="23"/>
    </row>
    <row r="22" spans="1:6" ht="14" x14ac:dyDescent="0.15">
      <c r="A22" s="10" t="s">
        <v>62</v>
      </c>
      <c r="B22" s="24">
        <v>-10.9</v>
      </c>
      <c r="C22" s="24">
        <v>-72.099999999999994</v>
      </c>
      <c r="D22" s="23">
        <v>8.1</v>
      </c>
      <c r="E22" s="23">
        <v>22.2</v>
      </c>
      <c r="F22" s="23">
        <v>40.200000000000003</v>
      </c>
    </row>
    <row r="23" spans="1:6" ht="14" x14ac:dyDescent="0.15">
      <c r="A23" s="10" t="s">
        <v>63</v>
      </c>
      <c r="B23" s="23"/>
      <c r="C23" s="23"/>
      <c r="D23" s="23"/>
      <c r="E23" s="23"/>
      <c r="F23" s="23"/>
    </row>
    <row r="24" spans="1:6" ht="28" x14ac:dyDescent="0.15">
      <c r="A24" s="14" t="s">
        <v>64</v>
      </c>
      <c r="B24" s="22">
        <v>0</v>
      </c>
      <c r="C24" s="22">
        <v>1.1000000000000001</v>
      </c>
      <c r="D24" s="22">
        <v>1</v>
      </c>
      <c r="E24" s="22">
        <v>0</v>
      </c>
      <c r="F24" s="22">
        <v>0</v>
      </c>
    </row>
    <row r="25" spans="1:6" x14ac:dyDescent="0.15">
      <c r="A25" s="10"/>
      <c r="B25" s="23"/>
      <c r="C25" s="23"/>
      <c r="D25" s="23"/>
      <c r="E25" s="23"/>
      <c r="F25" s="23"/>
    </row>
    <row r="26" spans="1:6" ht="14" x14ac:dyDescent="0.15">
      <c r="A26" s="10" t="s">
        <v>65</v>
      </c>
      <c r="B26" s="24">
        <v>-10.9</v>
      </c>
      <c r="C26" s="24">
        <v>-71</v>
      </c>
      <c r="D26" s="23">
        <v>9.1</v>
      </c>
      <c r="E26" s="23">
        <v>22.2</v>
      </c>
      <c r="F26" s="23">
        <v>40.200000000000003</v>
      </c>
    </row>
    <row r="27" spans="1:6" x14ac:dyDescent="0.15">
      <c r="A27" s="10"/>
      <c r="B27" s="23"/>
      <c r="C27" s="23"/>
      <c r="D27" s="23"/>
      <c r="E27" s="23"/>
      <c r="F27" s="23"/>
    </row>
    <row r="28" spans="1:6" ht="14" x14ac:dyDescent="0.15">
      <c r="A28" s="9" t="s">
        <v>25</v>
      </c>
      <c r="B28" s="23"/>
      <c r="C28" s="23"/>
      <c r="D28" s="23"/>
      <c r="E28" s="23"/>
      <c r="F28" s="23"/>
    </row>
    <row r="29" spans="1:6" ht="14" x14ac:dyDescent="0.15">
      <c r="A29" s="10" t="s">
        <v>26</v>
      </c>
      <c r="B29" s="22">
        <v>89.6</v>
      </c>
      <c r="C29" s="22">
        <v>121</v>
      </c>
      <c r="D29" s="22">
        <v>109.2</v>
      </c>
      <c r="E29" s="22">
        <v>132.6</v>
      </c>
      <c r="F29" s="22">
        <v>138.5</v>
      </c>
    </row>
    <row r="30" spans="1:6" ht="14" x14ac:dyDescent="0.15">
      <c r="A30" s="10" t="s">
        <v>66</v>
      </c>
      <c r="B30" s="22">
        <v>490.7</v>
      </c>
      <c r="C30" s="22">
        <v>363.4</v>
      </c>
      <c r="D30" s="22">
        <v>570.9</v>
      </c>
      <c r="E30" s="22">
        <v>603.6</v>
      </c>
      <c r="F30" s="22">
        <v>663.4</v>
      </c>
    </row>
    <row r="31" spans="1:6" ht="14" x14ac:dyDescent="0.15">
      <c r="A31" s="10" t="s">
        <v>67</v>
      </c>
      <c r="B31" s="22">
        <v>64.3</v>
      </c>
      <c r="C31" s="22">
        <v>20</v>
      </c>
      <c r="D31" s="22">
        <v>21.6</v>
      </c>
      <c r="E31" s="22">
        <v>28.2</v>
      </c>
      <c r="F31" s="22">
        <v>27.8</v>
      </c>
    </row>
    <row r="32" spans="1:6" ht="14" x14ac:dyDescent="0.15">
      <c r="A32" s="10" t="s">
        <v>29</v>
      </c>
      <c r="B32" s="22">
        <v>644.6</v>
      </c>
      <c r="C32" s="22">
        <v>504.4</v>
      </c>
      <c r="D32" s="22">
        <v>701.7</v>
      </c>
      <c r="E32" s="22">
        <v>764.4</v>
      </c>
      <c r="F32" s="22">
        <v>829.7</v>
      </c>
    </row>
    <row r="33" spans="1:6" x14ac:dyDescent="0.15">
      <c r="A33" s="10"/>
      <c r="B33" s="22"/>
      <c r="C33" s="22"/>
      <c r="D33" s="22"/>
      <c r="E33" s="22"/>
      <c r="F33" s="22"/>
    </row>
    <row r="34" spans="1:6" ht="14" x14ac:dyDescent="0.15">
      <c r="A34" s="10" t="s">
        <v>30</v>
      </c>
      <c r="B34" s="22">
        <v>75.599999999999994</v>
      </c>
      <c r="C34" s="22">
        <v>91.3</v>
      </c>
      <c r="D34" s="22">
        <v>87.3</v>
      </c>
      <c r="E34" s="22">
        <v>105.5</v>
      </c>
      <c r="F34" s="22">
        <v>117.6</v>
      </c>
    </row>
    <row r="35" spans="1:6" ht="14" x14ac:dyDescent="0.15">
      <c r="A35" s="10" t="s">
        <v>32</v>
      </c>
      <c r="B35" s="22">
        <v>260.89999999999998</v>
      </c>
      <c r="C35" s="22">
        <v>238.8</v>
      </c>
      <c r="D35" s="22">
        <v>320</v>
      </c>
      <c r="E35" s="22">
        <v>198.1</v>
      </c>
      <c r="F35" s="22">
        <v>200</v>
      </c>
    </row>
    <row r="36" spans="1:6" x14ac:dyDescent="0.15">
      <c r="A36" s="10"/>
      <c r="B36" s="22"/>
      <c r="C36" s="22"/>
      <c r="D36" s="22"/>
      <c r="E36" s="22"/>
      <c r="F36" s="22"/>
    </row>
    <row r="37" spans="1:6" ht="14" x14ac:dyDescent="0.15">
      <c r="A37" s="10" t="s">
        <v>34</v>
      </c>
      <c r="B37" s="22">
        <v>207.4</v>
      </c>
      <c r="C37" s="22">
        <v>128.80000000000001</v>
      </c>
      <c r="D37" s="22">
        <v>206.9</v>
      </c>
      <c r="E37" s="22">
        <v>350.3</v>
      </c>
      <c r="F37" s="22">
        <v>386.8</v>
      </c>
    </row>
    <row r="38" spans="1:6" x14ac:dyDescent="0.15">
      <c r="A38" s="10"/>
      <c r="B38" s="23"/>
      <c r="C38" s="23"/>
      <c r="D38" s="23"/>
      <c r="E38" s="23"/>
      <c r="F38" s="23"/>
    </row>
    <row r="39" spans="1:6" ht="14" x14ac:dyDescent="0.15">
      <c r="A39" s="9" t="s">
        <v>35</v>
      </c>
      <c r="B39" s="23"/>
      <c r="C39" s="23"/>
      <c r="D39" s="23"/>
      <c r="E39" s="23"/>
      <c r="F39" s="23"/>
    </row>
    <row r="40" spans="1:6" ht="14" x14ac:dyDescent="0.15">
      <c r="A40" s="10" t="s">
        <v>37</v>
      </c>
      <c r="B40" s="23"/>
      <c r="C40" s="23"/>
      <c r="D40" s="25">
        <v>1.2999999999999999E-2</v>
      </c>
      <c r="E40" s="25">
        <v>2.9000000000000001E-2</v>
      </c>
      <c r="F40" s="25">
        <v>4.8000000000000001E-2</v>
      </c>
    </row>
    <row r="41" spans="1:6" ht="14" x14ac:dyDescent="0.15">
      <c r="A41" s="10" t="s">
        <v>38</v>
      </c>
      <c r="B41" s="23"/>
      <c r="C41" s="23"/>
      <c r="D41" s="25">
        <v>5.3999999999999999E-2</v>
      </c>
      <c r="E41" s="25">
        <v>0.08</v>
      </c>
      <c r="F41" s="25">
        <v>0.109</v>
      </c>
    </row>
    <row r="42" spans="1:6" ht="14" x14ac:dyDescent="0.15">
      <c r="A42" s="10" t="s">
        <v>39</v>
      </c>
      <c r="B42" s="23">
        <v>1.17</v>
      </c>
      <c r="C42" s="23">
        <v>1.26</v>
      </c>
      <c r="D42" s="23">
        <v>1.1100000000000001</v>
      </c>
      <c r="E42" s="23">
        <v>1.23</v>
      </c>
      <c r="F42" s="23">
        <v>1.1299999999999999</v>
      </c>
    </row>
    <row r="43" spans="1:6" ht="14" x14ac:dyDescent="0.15">
      <c r="A43" s="10" t="s">
        <v>40</v>
      </c>
      <c r="B43" s="25">
        <v>0.55700000000000005</v>
      </c>
      <c r="C43" s="25">
        <v>0.65</v>
      </c>
      <c r="D43" s="25">
        <v>0.60699999999999998</v>
      </c>
      <c r="E43" s="25">
        <v>0.36099999999999999</v>
      </c>
      <c r="F43" s="25">
        <v>0.34100000000000003</v>
      </c>
    </row>
    <row r="44" spans="1:6" ht="14" x14ac:dyDescent="0.15">
      <c r="A44" s="10" t="s">
        <v>68</v>
      </c>
      <c r="B44" s="22">
        <v>15.9</v>
      </c>
      <c r="C44" s="22">
        <v>15.1</v>
      </c>
      <c r="D44" s="22">
        <v>14.5</v>
      </c>
      <c r="E44" s="22">
        <v>21.4</v>
      </c>
      <c r="F44" s="22">
        <v>11</v>
      </c>
    </row>
    <row r="45" spans="1:6" ht="14" x14ac:dyDescent="0.15">
      <c r="A45" s="10" t="s">
        <v>69</v>
      </c>
      <c r="B45" s="22"/>
      <c r="C45" s="22"/>
      <c r="D45" s="22">
        <v>1.7</v>
      </c>
      <c r="E45" s="22">
        <v>2.5</v>
      </c>
      <c r="F45" s="22">
        <v>6.2</v>
      </c>
    </row>
    <row r="46" spans="1:6" ht="28" x14ac:dyDescent="0.15">
      <c r="A46" s="10" t="s">
        <v>70</v>
      </c>
      <c r="B46" s="23" t="s">
        <v>71</v>
      </c>
      <c r="C46" s="23" t="s">
        <v>72</v>
      </c>
      <c r="D46" s="23" t="s">
        <v>72</v>
      </c>
      <c r="E46" s="23" t="s">
        <v>75</v>
      </c>
      <c r="F46" s="23" t="s">
        <v>71</v>
      </c>
    </row>
    <row r="47" spans="1:6" ht="14" x14ac:dyDescent="0.15">
      <c r="A47" s="10" t="s">
        <v>44</v>
      </c>
      <c r="B47" s="23"/>
      <c r="C47" s="23"/>
      <c r="D47" s="23">
        <v>33.200000000000003</v>
      </c>
      <c r="E47" s="23">
        <v>19.399999999999999</v>
      </c>
      <c r="F47" s="23">
        <v>17.899999999999999</v>
      </c>
    </row>
    <row r="48" spans="1:6" ht="14" x14ac:dyDescent="0.15">
      <c r="A48" s="10" t="s">
        <v>45</v>
      </c>
      <c r="B48" s="26">
        <v>2.87</v>
      </c>
      <c r="C48" s="26">
        <v>2.4500000000000002</v>
      </c>
      <c r="D48" s="26">
        <v>2.0299999999999998</v>
      </c>
      <c r="E48" s="26">
        <v>2.7</v>
      </c>
      <c r="F48" s="26">
        <v>3.52</v>
      </c>
    </row>
    <row r="49" spans="1:6" ht="14" x14ac:dyDescent="0.15">
      <c r="A49" s="10" t="s">
        <v>73</v>
      </c>
      <c r="B49" s="22">
        <v>20.3</v>
      </c>
      <c r="C49" s="22">
        <v>20.100000000000001</v>
      </c>
      <c r="D49" s="22">
        <v>33</v>
      </c>
      <c r="E49" s="22">
        <v>44</v>
      </c>
      <c r="F49" s="22">
        <v>44.7</v>
      </c>
    </row>
    <row r="50" spans="1:6" ht="14" x14ac:dyDescent="0.15">
      <c r="A50" s="10" t="s">
        <v>47</v>
      </c>
      <c r="B50" s="27">
        <v>9</v>
      </c>
      <c r="C50" s="23" t="s">
        <v>74</v>
      </c>
      <c r="D50" s="46" t="s">
        <v>138</v>
      </c>
      <c r="E50" s="46" t="s">
        <v>139</v>
      </c>
      <c r="F50" s="46" t="s">
        <v>140</v>
      </c>
    </row>
    <row r="51" spans="1:6" x14ac:dyDescent="0.15">
      <c r="A51" s="10"/>
      <c r="B51" s="23"/>
      <c r="C51" s="23"/>
      <c r="D51" s="23"/>
      <c r="E51" s="23"/>
      <c r="F51" s="23"/>
    </row>
    <row r="52" spans="1:6" ht="16" x14ac:dyDescent="0.15">
      <c r="A52" s="28" t="s">
        <v>103</v>
      </c>
      <c r="B52" s="23"/>
      <c r="C52" s="23"/>
      <c r="D52" s="23"/>
      <c r="E52" s="23"/>
      <c r="F52" s="23">
        <v>0.82</v>
      </c>
    </row>
    <row r="53" spans="1:6" x14ac:dyDescent="0.15">
      <c r="A53" s="20"/>
    </row>
    <row r="54" spans="1:6" x14ac:dyDescent="0.15">
      <c r="A54" s="10"/>
    </row>
    <row r="55" spans="1:6" x14ac:dyDescent="0.15">
      <c r="A55" s="52" t="s">
        <v>76</v>
      </c>
      <c r="B55" s="53"/>
      <c r="C55" s="53"/>
      <c r="D55" s="53"/>
      <c r="E55" s="53"/>
      <c r="F55" s="53"/>
    </row>
    <row r="56" spans="1:6" ht="14.25" customHeight="1" x14ac:dyDescent="0.15">
      <c r="A56" s="52" t="s">
        <v>77</v>
      </c>
      <c r="B56" s="53"/>
      <c r="C56" s="53"/>
      <c r="D56" s="53"/>
      <c r="E56" s="53"/>
      <c r="F56" s="53"/>
    </row>
  </sheetData>
  <mergeCells count="3">
    <mergeCell ref="A1:F1"/>
    <mergeCell ref="A55:F55"/>
    <mergeCell ref="A56:F56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E5C8-CFB0-6D4D-B033-84D7FD35B7CB}">
  <dimension ref="A1:S38"/>
  <sheetViews>
    <sheetView workbookViewId="0">
      <selection activeCell="V37" sqref="V37"/>
    </sheetView>
  </sheetViews>
  <sheetFormatPr baseColWidth="10" defaultRowHeight="13" x14ac:dyDescent="0.15"/>
  <cols>
    <col min="1" max="1" width="4.6640625" customWidth="1"/>
    <col min="2" max="2" width="27" customWidth="1"/>
    <col min="3" max="17" width="6.6640625" customWidth="1"/>
    <col min="18" max="256" width="8.83203125" customWidth="1"/>
  </cols>
  <sheetData>
    <row r="1" spans="1:17" x14ac:dyDescent="0.15">
      <c r="A1" s="48" t="s">
        <v>102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3" spans="1:17" x14ac:dyDescent="0.15">
      <c r="A3" s="3"/>
      <c r="B3" s="3" t="s">
        <v>79</v>
      </c>
      <c r="C3" s="21">
        <v>1991</v>
      </c>
      <c r="D3" s="21">
        <v>1992</v>
      </c>
      <c r="E3" s="21">
        <v>1993</v>
      </c>
      <c r="F3" s="21">
        <v>1994</v>
      </c>
      <c r="G3" s="21">
        <v>1995</v>
      </c>
      <c r="H3" s="21">
        <v>1996</v>
      </c>
      <c r="I3" s="21">
        <v>1997</v>
      </c>
      <c r="J3" s="21">
        <v>1998</v>
      </c>
      <c r="K3" s="21">
        <v>1999</v>
      </c>
      <c r="L3" s="21">
        <v>2000</v>
      </c>
      <c r="M3" s="21">
        <v>2001</v>
      </c>
      <c r="N3" s="21">
        <v>2002</v>
      </c>
      <c r="O3" s="21">
        <v>2003</v>
      </c>
      <c r="P3" s="21">
        <v>2004</v>
      </c>
      <c r="Q3" s="21">
        <v>2005</v>
      </c>
    </row>
    <row r="5" spans="1:17" x14ac:dyDescent="0.15">
      <c r="A5" s="29"/>
      <c r="B5" s="2" t="s">
        <v>80</v>
      </c>
    </row>
    <row r="6" spans="1:17" x14ac:dyDescent="0.15">
      <c r="A6" s="30">
        <v>-1</v>
      </c>
      <c r="B6" s="1" t="s">
        <v>81</v>
      </c>
      <c r="C6" s="15">
        <v>9.4</v>
      </c>
      <c r="D6" s="15">
        <v>8.1</v>
      </c>
      <c r="E6" s="15">
        <v>7.1</v>
      </c>
      <c r="F6" s="15">
        <v>6.3</v>
      </c>
      <c r="G6" s="15">
        <v>5.3</v>
      </c>
      <c r="H6" s="15">
        <v>4.5</v>
      </c>
      <c r="I6" s="15">
        <v>3.7</v>
      </c>
      <c r="J6" s="15">
        <v>2.9</v>
      </c>
      <c r="K6" s="15">
        <v>2.4</v>
      </c>
      <c r="L6" s="15">
        <v>2.2000000000000002</v>
      </c>
      <c r="M6" s="15">
        <v>1.9</v>
      </c>
      <c r="N6" s="15">
        <v>1.7</v>
      </c>
      <c r="O6" s="15">
        <v>1.5</v>
      </c>
      <c r="P6" s="15">
        <v>1.4</v>
      </c>
      <c r="Q6" s="15">
        <v>1.2</v>
      </c>
    </row>
    <row r="7" spans="1:17" x14ac:dyDescent="0.15">
      <c r="A7" s="30">
        <v>-2</v>
      </c>
      <c r="B7" s="1" t="s">
        <v>2</v>
      </c>
      <c r="C7" s="15">
        <v>45.3</v>
      </c>
      <c r="D7" s="15">
        <v>36.799999999999997</v>
      </c>
      <c r="E7" s="15">
        <v>29.5</v>
      </c>
      <c r="F7" s="15">
        <v>25</v>
      </c>
      <c r="G7" s="15">
        <v>21.7</v>
      </c>
      <c r="H7" s="15">
        <v>18.600000000000001</v>
      </c>
      <c r="I7" s="15">
        <v>16.5</v>
      </c>
      <c r="J7" s="15">
        <v>14.9</v>
      </c>
      <c r="K7" s="15">
        <v>12.8</v>
      </c>
      <c r="L7" s="15">
        <v>11.3</v>
      </c>
      <c r="M7" s="15">
        <v>10.3</v>
      </c>
      <c r="N7" s="15">
        <v>8.5</v>
      </c>
      <c r="O7" s="15">
        <v>7.6</v>
      </c>
      <c r="P7" s="15">
        <v>6.7</v>
      </c>
      <c r="Q7" s="15">
        <v>6.2</v>
      </c>
    </row>
    <row r="8" spans="1:17" x14ac:dyDescent="0.15">
      <c r="A8" s="30"/>
      <c r="B8" s="1"/>
    </row>
    <row r="9" spans="1:17" x14ac:dyDescent="0.15">
      <c r="A9" s="30"/>
      <c r="B9" s="2" t="s">
        <v>82</v>
      </c>
    </row>
    <row r="10" spans="1:17" x14ac:dyDescent="0.15">
      <c r="A10" s="30">
        <v>-3</v>
      </c>
      <c r="B10" s="1" t="s">
        <v>83</v>
      </c>
      <c r="C10" s="15">
        <v>192</v>
      </c>
      <c r="D10" s="15">
        <v>180.4</v>
      </c>
      <c r="E10" s="15">
        <v>168.2</v>
      </c>
      <c r="F10" s="15">
        <v>154.5</v>
      </c>
      <c r="G10" s="15">
        <v>139.4</v>
      </c>
      <c r="H10" s="15">
        <v>124.5</v>
      </c>
      <c r="I10" s="15">
        <v>109.1</v>
      </c>
      <c r="J10" s="15">
        <v>94.7</v>
      </c>
      <c r="K10" s="15">
        <v>82.7</v>
      </c>
      <c r="L10" s="15">
        <v>75.7</v>
      </c>
      <c r="M10" s="15">
        <v>72</v>
      </c>
      <c r="N10" s="15">
        <v>66.7</v>
      </c>
      <c r="O10" s="15">
        <v>63.4</v>
      </c>
      <c r="P10" s="15">
        <v>59.9</v>
      </c>
      <c r="Q10" s="15">
        <v>56.6</v>
      </c>
    </row>
    <row r="11" spans="1:17" x14ac:dyDescent="0.15">
      <c r="A11" s="30">
        <v>-4</v>
      </c>
      <c r="B11" s="1" t="s">
        <v>84</v>
      </c>
      <c r="C11" s="15">
        <v>90.5</v>
      </c>
      <c r="D11" s="15">
        <v>82.1</v>
      </c>
      <c r="E11" s="15">
        <v>73.5</v>
      </c>
      <c r="F11" s="15">
        <v>67.8</v>
      </c>
      <c r="G11" s="15">
        <v>64.099999999999994</v>
      </c>
      <c r="H11" s="15">
        <v>59.2</v>
      </c>
      <c r="I11" s="15">
        <v>56.7</v>
      </c>
      <c r="J11" s="15">
        <v>54.2</v>
      </c>
      <c r="K11" s="15">
        <v>50.4</v>
      </c>
      <c r="L11" s="15">
        <v>47.6</v>
      </c>
      <c r="M11" s="15">
        <v>45.8</v>
      </c>
      <c r="N11" s="15">
        <v>41.1</v>
      </c>
      <c r="O11" s="15">
        <v>38.200000000000003</v>
      </c>
      <c r="P11" s="15">
        <v>36.9</v>
      </c>
      <c r="Q11" s="15">
        <v>36.1</v>
      </c>
    </row>
    <row r="12" spans="1:17" x14ac:dyDescent="0.15">
      <c r="A12" s="30">
        <v>-5</v>
      </c>
      <c r="B12" s="1" t="s">
        <v>14</v>
      </c>
      <c r="C12" s="15">
        <v>282.5</v>
      </c>
      <c r="D12" s="15">
        <v>262.5</v>
      </c>
      <c r="E12" s="15">
        <v>241.7</v>
      </c>
      <c r="F12" s="15">
        <v>222.3</v>
      </c>
      <c r="G12" s="15">
        <v>203.5</v>
      </c>
      <c r="H12" s="15">
        <v>183.7</v>
      </c>
      <c r="I12" s="15">
        <v>165.8</v>
      </c>
      <c r="J12" s="15">
        <v>148.9</v>
      </c>
      <c r="K12" s="15">
        <v>133.1</v>
      </c>
      <c r="L12" s="15">
        <v>123.3</v>
      </c>
      <c r="M12" s="15">
        <v>117.8</v>
      </c>
      <c r="N12" s="15">
        <v>107.7</v>
      </c>
      <c r="O12" s="15">
        <v>101.6</v>
      </c>
      <c r="P12" s="15">
        <v>96.8</v>
      </c>
      <c r="Q12" s="15">
        <v>92.7</v>
      </c>
    </row>
    <row r="13" spans="1:17" x14ac:dyDescent="0.15">
      <c r="A13" s="30"/>
      <c r="B13" s="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x14ac:dyDescent="0.15">
      <c r="A14" s="30">
        <v>-6</v>
      </c>
      <c r="B14" s="1" t="s">
        <v>85</v>
      </c>
      <c r="C14" s="15">
        <v>25.5</v>
      </c>
      <c r="D14" s="15">
        <v>23.6</v>
      </c>
      <c r="E14" s="15">
        <v>21.6</v>
      </c>
      <c r="F14" s="15">
        <v>19.899999999999999</v>
      </c>
      <c r="G14" s="15">
        <v>18</v>
      </c>
      <c r="H14" s="15">
        <v>16.2</v>
      </c>
      <c r="I14" s="15">
        <v>14.4</v>
      </c>
      <c r="J14" s="15">
        <v>12.7</v>
      </c>
      <c r="K14" s="15">
        <v>11.4</v>
      </c>
      <c r="L14" s="15">
        <v>10.5</v>
      </c>
      <c r="M14" s="15">
        <v>9.8000000000000007</v>
      </c>
      <c r="N14" s="15">
        <v>9.1</v>
      </c>
      <c r="O14" s="15">
        <v>8.5</v>
      </c>
      <c r="P14" s="15">
        <v>8.1</v>
      </c>
      <c r="Q14" s="15">
        <v>7.7</v>
      </c>
    </row>
    <row r="15" spans="1:17" x14ac:dyDescent="0.15">
      <c r="A15" s="30">
        <v>-7</v>
      </c>
      <c r="B15" s="1" t="s">
        <v>86</v>
      </c>
      <c r="C15" s="15">
        <v>79.900000000000006</v>
      </c>
      <c r="D15" s="15">
        <v>80.3</v>
      </c>
      <c r="E15" s="15">
        <v>79.8</v>
      </c>
      <c r="F15" s="15">
        <v>78.900000000000006</v>
      </c>
      <c r="G15" s="15">
        <v>76</v>
      </c>
      <c r="H15" s="15">
        <v>71</v>
      </c>
      <c r="I15" s="15">
        <v>63.8</v>
      </c>
      <c r="J15" s="15">
        <v>56.1</v>
      </c>
      <c r="K15" s="15">
        <v>49.9</v>
      </c>
      <c r="L15" s="15">
        <v>48.2</v>
      </c>
      <c r="M15" s="15">
        <v>45.5</v>
      </c>
      <c r="N15" s="15">
        <v>44.1</v>
      </c>
      <c r="O15" s="15">
        <v>44.5</v>
      </c>
      <c r="P15" s="15">
        <v>43.7</v>
      </c>
      <c r="Q15" s="15">
        <v>43</v>
      </c>
    </row>
    <row r="16" spans="1:17" x14ac:dyDescent="0.15">
      <c r="A16" s="30">
        <v>-8</v>
      </c>
      <c r="B16" s="1" t="s">
        <v>87</v>
      </c>
      <c r="C16" s="15">
        <v>33.9</v>
      </c>
      <c r="D16" s="15">
        <v>32.200000000000003</v>
      </c>
      <c r="E16" s="15">
        <v>28.6</v>
      </c>
      <c r="F16" s="15">
        <v>25.9</v>
      </c>
      <c r="G16" s="15">
        <v>23</v>
      </c>
      <c r="H16" s="15">
        <v>20.399999999999999</v>
      </c>
      <c r="I16" s="15">
        <v>18.3</v>
      </c>
      <c r="J16" s="15">
        <v>16.100000000000001</v>
      </c>
      <c r="K16" s="15">
        <v>13.9</v>
      </c>
      <c r="L16" s="15">
        <v>12.6</v>
      </c>
      <c r="M16" s="15">
        <v>10.8</v>
      </c>
      <c r="N16" s="15">
        <v>9.6999999999999993</v>
      </c>
      <c r="O16" s="15">
        <v>9</v>
      </c>
      <c r="P16" s="15">
        <v>8.3000000000000007</v>
      </c>
      <c r="Q16" s="15">
        <v>7.8</v>
      </c>
    </row>
    <row r="17" spans="1:17" x14ac:dyDescent="0.15">
      <c r="A17" s="30">
        <v>-9</v>
      </c>
      <c r="B17" s="1" t="s">
        <v>88</v>
      </c>
      <c r="C17" s="15">
        <v>58</v>
      </c>
      <c r="D17" s="15">
        <v>45.2</v>
      </c>
      <c r="E17" s="15">
        <v>35.6</v>
      </c>
      <c r="F17" s="15">
        <v>29.1</v>
      </c>
      <c r="G17" s="15">
        <v>23.8</v>
      </c>
      <c r="H17" s="15">
        <v>19.100000000000001</v>
      </c>
      <c r="I17" s="15">
        <v>19.600000000000001</v>
      </c>
      <c r="J17" s="15">
        <v>16.600000000000001</v>
      </c>
      <c r="K17" s="15">
        <v>13.3</v>
      </c>
      <c r="L17" s="15">
        <v>10.7</v>
      </c>
      <c r="M17" s="15">
        <v>9</v>
      </c>
      <c r="N17" s="15">
        <v>7.5</v>
      </c>
      <c r="O17" s="15">
        <v>6.3</v>
      </c>
      <c r="P17" s="15">
        <v>5.3</v>
      </c>
      <c r="Q17" s="15">
        <v>4.5</v>
      </c>
    </row>
    <row r="18" spans="1:17" x14ac:dyDescent="0.15">
      <c r="A18" s="30">
        <v>-10</v>
      </c>
      <c r="B18" s="1" t="s">
        <v>89</v>
      </c>
      <c r="C18" s="15">
        <v>85.2</v>
      </c>
      <c r="D18" s="15">
        <v>81.2</v>
      </c>
      <c r="E18" s="15">
        <v>76.099999999999994</v>
      </c>
      <c r="F18" s="15">
        <v>68.599999999999994</v>
      </c>
      <c r="G18" s="15">
        <v>62.7</v>
      </c>
      <c r="H18" s="15">
        <v>57</v>
      </c>
      <c r="I18" s="15">
        <v>49.7</v>
      </c>
      <c r="J18" s="15">
        <v>47.4</v>
      </c>
      <c r="K18" s="15">
        <v>44.6</v>
      </c>
      <c r="L18" s="15">
        <v>41.4</v>
      </c>
      <c r="M18" s="15">
        <v>42.8</v>
      </c>
      <c r="N18" s="15">
        <v>37.299999999999997</v>
      </c>
      <c r="O18" s="15">
        <v>33.299999999999997</v>
      </c>
      <c r="P18" s="15">
        <v>31.3</v>
      </c>
      <c r="Q18" s="15">
        <v>29.7</v>
      </c>
    </row>
    <row r="19" spans="1:17" x14ac:dyDescent="0.15">
      <c r="A19" s="30">
        <v>-11</v>
      </c>
      <c r="B19" s="1" t="s">
        <v>90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15">
      <c r="A20" s="30">
        <v>-12</v>
      </c>
      <c r="B20" s="31" t="s">
        <v>91</v>
      </c>
      <c r="C20" s="15">
        <v>48.5</v>
      </c>
      <c r="D20" s="15">
        <v>44.4</v>
      </c>
      <c r="E20" s="15">
        <v>39.299999999999997</v>
      </c>
      <c r="F20" s="15">
        <v>34.1</v>
      </c>
      <c r="G20" s="15">
        <v>29.9</v>
      </c>
      <c r="H20" s="15">
        <v>25.9</v>
      </c>
      <c r="I20" s="15">
        <v>23.6</v>
      </c>
      <c r="J20" s="15">
        <v>21.5</v>
      </c>
      <c r="K20" s="15">
        <v>19.3</v>
      </c>
      <c r="L20" s="15">
        <v>17.5</v>
      </c>
      <c r="M20" s="15">
        <v>17.399999999999999</v>
      </c>
      <c r="N20" s="15">
        <v>15.2</v>
      </c>
      <c r="O20" s="15">
        <v>13.4</v>
      </c>
      <c r="P20" s="15">
        <v>12.7</v>
      </c>
      <c r="Q20" s="15">
        <v>12</v>
      </c>
    </row>
    <row r="21" spans="1:17" x14ac:dyDescent="0.15">
      <c r="A21" s="30">
        <v>-13</v>
      </c>
      <c r="B21" s="31" t="s">
        <v>92</v>
      </c>
      <c r="C21" s="19">
        <v>-19.100000000000001</v>
      </c>
      <c r="D21" s="19">
        <v>-15.2</v>
      </c>
      <c r="E21" s="19">
        <v>-11.8</v>
      </c>
      <c r="F21" s="19">
        <v>-9.5</v>
      </c>
      <c r="G21" s="19">
        <v>-7.7</v>
      </c>
      <c r="H21" s="19">
        <v>-5.9</v>
      </c>
      <c r="I21" s="19">
        <v>-6.2</v>
      </c>
      <c r="J21" s="19">
        <v>-5.0999999999999996</v>
      </c>
      <c r="K21" s="19">
        <v>-3.9</v>
      </c>
      <c r="L21" s="19">
        <v>-3.1</v>
      </c>
      <c r="M21" s="19">
        <v>-2.5</v>
      </c>
      <c r="N21" s="19">
        <v>-2.2000000000000002</v>
      </c>
      <c r="O21" s="19">
        <v>-1.8</v>
      </c>
      <c r="P21" s="19">
        <v>-1.4</v>
      </c>
      <c r="Q21" s="19">
        <v>-1.2</v>
      </c>
    </row>
    <row r="22" spans="1:17" x14ac:dyDescent="0.15">
      <c r="A22" s="30">
        <v>-14</v>
      </c>
      <c r="B22" s="1" t="s">
        <v>93</v>
      </c>
      <c r="C22" s="15">
        <v>29.4</v>
      </c>
      <c r="D22" s="15">
        <v>29.2</v>
      </c>
      <c r="E22" s="15">
        <v>27.4</v>
      </c>
      <c r="F22" s="15">
        <v>24.6</v>
      </c>
      <c r="G22" s="15">
        <v>22.3</v>
      </c>
      <c r="H22" s="15">
        <v>20</v>
      </c>
      <c r="I22" s="15">
        <v>17.399999999999999</v>
      </c>
      <c r="J22" s="15">
        <v>16.399999999999999</v>
      </c>
      <c r="K22" s="15">
        <v>15.4</v>
      </c>
      <c r="L22" s="15">
        <v>14.4</v>
      </c>
      <c r="M22" s="15">
        <v>14.9</v>
      </c>
      <c r="N22" s="15">
        <v>13</v>
      </c>
      <c r="O22" s="15">
        <v>11.7</v>
      </c>
      <c r="P22" s="15">
        <v>11.3</v>
      </c>
      <c r="Q22" s="15">
        <v>10.8</v>
      </c>
    </row>
    <row r="23" spans="1:17" x14ac:dyDescent="0.15">
      <c r="A23" s="30">
        <v>-15</v>
      </c>
      <c r="B23" s="1" t="s">
        <v>94</v>
      </c>
      <c r="C23" s="15">
        <v>55.8</v>
      </c>
      <c r="D23" s="15">
        <v>52</v>
      </c>
      <c r="E23" s="15">
        <v>48.6</v>
      </c>
      <c r="F23" s="15">
        <v>43.9</v>
      </c>
      <c r="G23" s="15">
        <v>40.4</v>
      </c>
      <c r="H23" s="15">
        <v>37</v>
      </c>
      <c r="I23" s="15">
        <v>32.200000000000003</v>
      </c>
      <c r="J23" s="15">
        <v>31</v>
      </c>
      <c r="K23" s="15">
        <v>29.2</v>
      </c>
      <c r="L23" s="15">
        <v>27</v>
      </c>
      <c r="M23" s="15">
        <v>27.9</v>
      </c>
      <c r="N23" s="15">
        <v>24.3</v>
      </c>
      <c r="O23" s="15">
        <v>21.7</v>
      </c>
      <c r="P23" s="15">
        <v>20</v>
      </c>
      <c r="Q23" s="15">
        <v>18.899999999999999</v>
      </c>
    </row>
    <row r="24" spans="1:17" x14ac:dyDescent="0.15">
      <c r="A24" s="30">
        <v>-16</v>
      </c>
      <c r="B24" s="1" t="s">
        <v>95</v>
      </c>
      <c r="C24" s="15">
        <v>38.9</v>
      </c>
      <c r="D24" s="15">
        <v>30.1</v>
      </c>
      <c r="E24" s="15">
        <v>23.7</v>
      </c>
      <c r="F24" s="15">
        <v>19.600000000000001</v>
      </c>
      <c r="G24" s="15">
        <v>16.100000000000001</v>
      </c>
      <c r="H24" s="15">
        <v>13.2</v>
      </c>
      <c r="I24" s="15">
        <v>13.5</v>
      </c>
      <c r="J24" s="15">
        <v>11.5</v>
      </c>
      <c r="K24" s="15">
        <v>9.5</v>
      </c>
      <c r="L24" s="15">
        <v>7.7</v>
      </c>
      <c r="M24" s="15">
        <v>6.4</v>
      </c>
      <c r="N24" s="15">
        <v>5.3</v>
      </c>
      <c r="O24" s="15">
        <v>4.5</v>
      </c>
      <c r="P24" s="15">
        <v>4</v>
      </c>
      <c r="Q24" s="15">
        <v>3.3</v>
      </c>
    </row>
    <row r="25" spans="1:17" x14ac:dyDescent="0.15">
      <c r="A25" s="30">
        <v>-17</v>
      </c>
      <c r="B25" s="1" t="s">
        <v>96</v>
      </c>
      <c r="C25" s="15">
        <v>94.7</v>
      </c>
      <c r="D25" s="15">
        <v>82</v>
      </c>
      <c r="E25" s="15">
        <v>72.3</v>
      </c>
      <c r="F25" s="15">
        <v>63.5</v>
      </c>
      <c r="G25" s="15">
        <v>56.6</v>
      </c>
      <c r="H25" s="15">
        <v>50.3</v>
      </c>
      <c r="I25" s="15">
        <v>45.7</v>
      </c>
      <c r="J25" s="15">
        <v>42.5</v>
      </c>
      <c r="K25" s="15">
        <v>38.700000000000003</v>
      </c>
      <c r="L25" s="15">
        <v>34.6</v>
      </c>
      <c r="M25" s="15">
        <v>34.4</v>
      </c>
      <c r="N25" s="15">
        <v>29.6</v>
      </c>
      <c r="O25" s="15">
        <v>26.2</v>
      </c>
      <c r="P25" s="15">
        <v>24</v>
      </c>
      <c r="Q25" s="15">
        <v>22.2</v>
      </c>
    </row>
    <row r="26" spans="1:17" x14ac:dyDescent="0.15">
      <c r="A26" s="30">
        <v>-18</v>
      </c>
      <c r="B26" s="1" t="s">
        <v>97</v>
      </c>
      <c r="C26" s="15">
        <v>5.4</v>
      </c>
      <c r="D26" s="15">
        <v>2</v>
      </c>
      <c r="E26" s="15">
        <v>2.7</v>
      </c>
      <c r="F26" s="15">
        <v>0.5</v>
      </c>
      <c r="G26" s="15">
        <v>0.6</v>
      </c>
      <c r="H26" s="15">
        <v>0.8</v>
      </c>
      <c r="I26" s="15">
        <v>0.8</v>
      </c>
      <c r="J26" s="15">
        <v>0.6</v>
      </c>
      <c r="K26" s="15">
        <v>1.1000000000000001</v>
      </c>
      <c r="L26" s="15">
        <v>0.4</v>
      </c>
      <c r="M26" s="15">
        <v>0.1</v>
      </c>
      <c r="N26" s="15">
        <v>0.1</v>
      </c>
      <c r="O26" s="15">
        <v>0.1</v>
      </c>
      <c r="P26" s="15">
        <v>0.5</v>
      </c>
      <c r="Q26" s="15">
        <v>0.1</v>
      </c>
    </row>
    <row r="27" spans="1:17" x14ac:dyDescent="0.15">
      <c r="A27" s="30"/>
      <c r="B27" s="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x14ac:dyDescent="0.15">
      <c r="A28" s="30">
        <v>-19</v>
      </c>
      <c r="B28" s="1" t="s">
        <v>98</v>
      </c>
      <c r="C28" s="15">
        <v>89.4</v>
      </c>
      <c r="D28" s="15">
        <v>80</v>
      </c>
      <c r="E28" s="15">
        <v>69.599999999999994</v>
      </c>
      <c r="F28" s="15">
        <v>63</v>
      </c>
      <c r="G28" s="15">
        <v>56</v>
      </c>
      <c r="H28" s="15">
        <v>49.5</v>
      </c>
      <c r="I28" s="15">
        <v>44.9</v>
      </c>
      <c r="J28" s="15">
        <v>41.9</v>
      </c>
      <c r="K28" s="15">
        <v>37.6</v>
      </c>
      <c r="L28" s="15">
        <v>34.299999999999997</v>
      </c>
      <c r="M28" s="15">
        <v>34.200000000000003</v>
      </c>
      <c r="N28" s="15">
        <v>29.5</v>
      </c>
      <c r="O28" s="15">
        <v>26.1</v>
      </c>
      <c r="P28" s="15">
        <v>23.5</v>
      </c>
      <c r="Q28" s="15">
        <v>22.1</v>
      </c>
    </row>
    <row r="29" spans="1:17" x14ac:dyDescent="0.15">
      <c r="A29" s="30"/>
      <c r="B29" s="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15">
      <c r="A30" s="30">
        <v>-20</v>
      </c>
      <c r="B30" s="1" t="s">
        <v>99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>
        <v>92.1</v>
      </c>
    </row>
    <row r="31" spans="1:17" x14ac:dyDescent="0.15">
      <c r="A31" s="30"/>
      <c r="B31" s="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15">
      <c r="A32" s="30">
        <v>-21</v>
      </c>
      <c r="B32" s="1" t="s">
        <v>100</v>
      </c>
      <c r="C32" s="15">
        <v>89.4</v>
      </c>
      <c r="D32" s="15">
        <f>SUM($C$28:D28)</f>
        <v>169.4</v>
      </c>
      <c r="E32" s="15">
        <f>SUM($C$28:E28)</f>
        <v>239</v>
      </c>
      <c r="F32" s="15">
        <f>SUM($C$28:F28)</f>
        <v>302</v>
      </c>
      <c r="G32" s="15">
        <f>SUM($C$28:G28)</f>
        <v>358</v>
      </c>
      <c r="H32" s="15">
        <f>SUM($C$28:H28)</f>
        <v>407.5</v>
      </c>
      <c r="I32" s="15">
        <f>SUM($C$28:I28)</f>
        <v>452.4</v>
      </c>
      <c r="J32" s="15">
        <f>SUM($C$28:J28)</f>
        <v>494.29999999999995</v>
      </c>
      <c r="K32" s="15">
        <f>SUM($C$28:K28)</f>
        <v>531.9</v>
      </c>
      <c r="L32" s="15">
        <f>SUM($C$28:L28)</f>
        <v>566.19999999999993</v>
      </c>
      <c r="M32" s="15">
        <f>SUM($C$28:M28)</f>
        <v>600.4</v>
      </c>
      <c r="N32" s="15">
        <f>SUM($C$28:N28)</f>
        <v>629.9</v>
      </c>
      <c r="O32" s="15">
        <f>SUM($C$28:O28)</f>
        <v>656</v>
      </c>
      <c r="P32" s="15">
        <f>SUM($C$28:P28)</f>
        <v>679.5</v>
      </c>
      <c r="Q32" s="15">
        <f>SUM($C$28:Q28)+Q30</f>
        <v>793.7</v>
      </c>
    </row>
    <row r="33" spans="1:19" x14ac:dyDescent="0.15">
      <c r="A33" s="4"/>
      <c r="B33" s="4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9" x14ac:dyDescent="0.15">
      <c r="A34" s="1"/>
      <c r="B34" s="1"/>
    </row>
    <row r="35" spans="1:19" x14ac:dyDescent="0.15">
      <c r="A35" s="54" t="s">
        <v>101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</row>
    <row r="38" spans="1:19" x14ac:dyDescent="0.15">
      <c r="B38" s="56" t="s">
        <v>151</v>
      </c>
      <c r="C38" s="55">
        <f>C22/C18</f>
        <v>0.34507042253521125</v>
      </c>
      <c r="D38" s="55">
        <f t="shared" ref="D38:Q38" si="0">D22/D18</f>
        <v>0.35960591133004927</v>
      </c>
      <c r="E38" s="55">
        <f t="shared" si="0"/>
        <v>0.36005256241787126</v>
      </c>
      <c r="F38" s="55">
        <f t="shared" si="0"/>
        <v>0.35860058309037907</v>
      </c>
      <c r="G38" s="55">
        <f t="shared" si="0"/>
        <v>0.35566188197767146</v>
      </c>
      <c r="H38" s="55">
        <f t="shared" si="0"/>
        <v>0.35087719298245612</v>
      </c>
      <c r="I38" s="55">
        <f t="shared" si="0"/>
        <v>0.35010060362173034</v>
      </c>
      <c r="J38" s="55">
        <f t="shared" si="0"/>
        <v>0.34599156118143459</v>
      </c>
      <c r="K38" s="55">
        <f t="shared" si="0"/>
        <v>0.3452914798206278</v>
      </c>
      <c r="L38" s="55">
        <f t="shared" si="0"/>
        <v>0.34782608695652178</v>
      </c>
      <c r="M38" s="55">
        <f t="shared" si="0"/>
        <v>0.34813084112149534</v>
      </c>
      <c r="N38" s="55">
        <f t="shared" si="0"/>
        <v>0.34852546916890081</v>
      </c>
      <c r="O38" s="55">
        <f t="shared" si="0"/>
        <v>0.35135135135135137</v>
      </c>
      <c r="P38" s="55">
        <f t="shared" si="0"/>
        <v>0.36102236421725242</v>
      </c>
      <c r="Q38" s="55">
        <f t="shared" si="0"/>
        <v>0.36363636363636365</v>
      </c>
      <c r="S38" s="13">
        <f>AVERAGE(C38:Q38)</f>
        <v>0.35278297836062111</v>
      </c>
    </row>
  </sheetData>
  <mergeCells count="2">
    <mergeCell ref="A1:Q1"/>
    <mergeCell ref="A35:Q35"/>
  </mergeCells>
  <phoneticPr fontId="2" type="noConversion"/>
  <pageMargins left="0.75" right="0.75" top="1" bottom="1" header="0.5" footer="0.5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45D4-2B09-A447-ACE6-661BA6BDE29F}">
  <dimension ref="A1:S38"/>
  <sheetViews>
    <sheetView workbookViewId="0">
      <selection activeCell="L26" sqref="L26"/>
    </sheetView>
  </sheetViews>
  <sheetFormatPr baseColWidth="10" defaultRowHeight="13" x14ac:dyDescent="0.15"/>
  <cols>
    <col min="1" max="1" width="4.6640625" customWidth="1"/>
    <col min="2" max="2" width="27.33203125" customWidth="1"/>
    <col min="3" max="3" width="6.6640625" customWidth="1"/>
    <col min="4" max="17" width="6.33203125" customWidth="1"/>
    <col min="18" max="256" width="8.83203125" customWidth="1"/>
  </cols>
  <sheetData>
    <row r="1" spans="1:17" x14ac:dyDescent="0.15">
      <c r="A1" s="48" t="s">
        <v>106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3" spans="1:17" x14ac:dyDescent="0.15">
      <c r="A3" s="33"/>
      <c r="B3" s="11" t="s">
        <v>107</v>
      </c>
      <c r="C3" s="21" t="s">
        <v>104</v>
      </c>
      <c r="D3" s="37">
        <v>2</v>
      </c>
      <c r="E3" s="37">
        <v>3</v>
      </c>
      <c r="F3" s="37">
        <v>4</v>
      </c>
      <c r="G3" s="37">
        <v>5</v>
      </c>
      <c r="H3" s="37">
        <v>6</v>
      </c>
      <c r="I3" s="37">
        <v>7</v>
      </c>
      <c r="J3" s="37">
        <v>8</v>
      </c>
      <c r="K3" s="37">
        <v>9</v>
      </c>
      <c r="L3" s="37">
        <v>10</v>
      </c>
      <c r="M3" s="37">
        <v>11</v>
      </c>
      <c r="N3" s="37">
        <v>12</v>
      </c>
      <c r="O3" s="37">
        <v>13</v>
      </c>
      <c r="P3" s="37">
        <v>14</v>
      </c>
      <c r="Q3" s="37">
        <v>15</v>
      </c>
    </row>
    <row r="4" spans="1:17" x14ac:dyDescent="0.15">
      <c r="A4" s="1"/>
      <c r="B4" s="1"/>
    </row>
    <row r="5" spans="1:17" x14ac:dyDescent="0.15">
      <c r="A5" s="1"/>
      <c r="B5" s="2" t="s">
        <v>80</v>
      </c>
    </row>
    <row r="6" spans="1:17" x14ac:dyDescent="0.15">
      <c r="A6" s="30">
        <v>-1</v>
      </c>
      <c r="B6" s="1" t="s">
        <v>81</v>
      </c>
      <c r="C6" s="15">
        <v>0.3</v>
      </c>
      <c r="D6" s="15">
        <v>0.6</v>
      </c>
      <c r="E6" s="15">
        <v>0.5</v>
      </c>
      <c r="F6" s="15">
        <v>0.5</v>
      </c>
      <c r="G6" s="15">
        <v>0.5</v>
      </c>
      <c r="H6" s="15">
        <v>0.5</v>
      </c>
      <c r="I6" s="15">
        <v>0.5</v>
      </c>
      <c r="J6" s="15">
        <v>0.7</v>
      </c>
      <c r="K6" s="15">
        <v>0.8</v>
      </c>
      <c r="L6" s="15">
        <v>0.7</v>
      </c>
      <c r="M6" s="15">
        <v>0.7</v>
      </c>
      <c r="N6" s="15">
        <v>0.7</v>
      </c>
      <c r="O6" s="15">
        <v>0.7</v>
      </c>
      <c r="P6" s="15">
        <v>0.7</v>
      </c>
      <c r="Q6" s="15">
        <v>0.6</v>
      </c>
    </row>
    <row r="7" spans="1:17" x14ac:dyDescent="0.15">
      <c r="A7" s="30">
        <v>-2</v>
      </c>
      <c r="B7" s="1" t="s">
        <v>2</v>
      </c>
      <c r="C7" s="15">
        <v>1.7</v>
      </c>
      <c r="D7" s="15">
        <v>4.9000000000000004</v>
      </c>
      <c r="E7" s="15">
        <v>5.6</v>
      </c>
      <c r="F7" s="15">
        <v>3.3</v>
      </c>
      <c r="G7" s="15">
        <v>2.2999999999999998</v>
      </c>
      <c r="H7" s="15">
        <v>2</v>
      </c>
      <c r="I7" s="15">
        <v>2</v>
      </c>
      <c r="J7" s="15">
        <v>2.2000000000000002</v>
      </c>
      <c r="K7" s="15">
        <v>2.2999999999999998</v>
      </c>
      <c r="L7" s="15">
        <v>1.9</v>
      </c>
      <c r="M7" s="15">
        <v>1.6</v>
      </c>
      <c r="N7" s="15">
        <v>1.3</v>
      </c>
      <c r="O7" s="15">
        <v>1.3</v>
      </c>
      <c r="P7" s="15">
        <v>1</v>
      </c>
      <c r="Q7" s="15">
        <v>0.9</v>
      </c>
    </row>
    <row r="8" spans="1:17" x14ac:dyDescent="0.15">
      <c r="A8" s="30"/>
      <c r="B8" s="1"/>
    </row>
    <row r="9" spans="1:17" x14ac:dyDescent="0.15">
      <c r="A9" s="30"/>
      <c r="B9" s="2" t="s">
        <v>82</v>
      </c>
    </row>
    <row r="10" spans="1:17" x14ac:dyDescent="0.15">
      <c r="A10" s="30">
        <v>-3</v>
      </c>
      <c r="B10" s="1" t="s">
        <v>83</v>
      </c>
      <c r="C10" s="15">
        <v>6</v>
      </c>
      <c r="D10" s="15">
        <v>14</v>
      </c>
      <c r="E10" s="15">
        <v>12.9</v>
      </c>
      <c r="F10" s="15">
        <v>11.8</v>
      </c>
      <c r="G10" s="15">
        <v>12.3</v>
      </c>
      <c r="H10" s="15">
        <v>13.2</v>
      </c>
      <c r="I10" s="15">
        <v>16.100000000000001</v>
      </c>
      <c r="J10" s="15">
        <v>21</v>
      </c>
      <c r="K10" s="15">
        <v>27.1</v>
      </c>
      <c r="L10" s="15">
        <v>25.2</v>
      </c>
      <c r="M10" s="15">
        <v>25.3</v>
      </c>
      <c r="N10" s="15">
        <v>26.8</v>
      </c>
      <c r="O10" s="15">
        <v>28.7</v>
      </c>
      <c r="P10" s="15">
        <v>30.9</v>
      </c>
      <c r="Q10" s="15">
        <v>29.3</v>
      </c>
    </row>
    <row r="11" spans="1:17" x14ac:dyDescent="0.15">
      <c r="A11" s="30">
        <v>-4</v>
      </c>
      <c r="B11" s="1" t="s">
        <v>84</v>
      </c>
      <c r="C11" s="15">
        <v>3.4</v>
      </c>
      <c r="D11" s="15">
        <v>11.3</v>
      </c>
      <c r="E11" s="15">
        <v>14.5</v>
      </c>
      <c r="F11" s="15">
        <v>9.1</v>
      </c>
      <c r="G11" s="15">
        <v>6.7</v>
      </c>
      <c r="H11" s="15">
        <v>6.2</v>
      </c>
      <c r="I11" s="15">
        <v>6.6</v>
      </c>
      <c r="J11" s="15">
        <v>7.1</v>
      </c>
      <c r="K11" s="15">
        <v>8.1999999999999993</v>
      </c>
      <c r="L11" s="15">
        <v>7.2</v>
      </c>
      <c r="M11" s="15">
        <v>6.6</v>
      </c>
      <c r="N11" s="15">
        <v>5.5</v>
      </c>
      <c r="O11" s="15">
        <v>5.2</v>
      </c>
      <c r="P11" s="15">
        <v>5.2</v>
      </c>
      <c r="Q11" s="15">
        <v>4.5</v>
      </c>
    </row>
    <row r="12" spans="1:17" x14ac:dyDescent="0.15">
      <c r="A12" s="30">
        <v>-5</v>
      </c>
      <c r="B12" s="1" t="s">
        <v>14</v>
      </c>
      <c r="C12" s="15">
        <v>9.4</v>
      </c>
      <c r="D12" s="15">
        <v>25.3</v>
      </c>
      <c r="E12" s="15">
        <v>27.4</v>
      </c>
      <c r="F12" s="15">
        <v>20.9</v>
      </c>
      <c r="G12" s="15">
        <v>19</v>
      </c>
      <c r="H12" s="15">
        <v>19.399999999999999</v>
      </c>
      <c r="I12" s="15">
        <v>22.7</v>
      </c>
      <c r="J12" s="15">
        <v>28.1</v>
      </c>
      <c r="K12" s="15">
        <v>35.299999999999997</v>
      </c>
      <c r="L12" s="15">
        <v>32.4</v>
      </c>
      <c r="M12" s="15">
        <v>31.9</v>
      </c>
      <c r="N12" s="15">
        <v>32.299999999999997</v>
      </c>
      <c r="O12" s="15">
        <v>33.9</v>
      </c>
      <c r="P12" s="15">
        <v>36.1</v>
      </c>
      <c r="Q12" s="15">
        <v>33.799999999999997</v>
      </c>
    </row>
    <row r="13" spans="1:17" x14ac:dyDescent="0.15">
      <c r="A13" s="30"/>
      <c r="B13" s="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x14ac:dyDescent="0.15">
      <c r="A14" s="30">
        <v>-6</v>
      </c>
      <c r="B14" s="1" t="s">
        <v>85</v>
      </c>
      <c r="C14" s="15">
        <v>0.9</v>
      </c>
      <c r="D14" s="15">
        <v>2.4</v>
      </c>
      <c r="E14" s="15">
        <v>2.2999999999999998</v>
      </c>
      <c r="F14" s="15">
        <v>1.8</v>
      </c>
      <c r="G14" s="15">
        <v>1.7</v>
      </c>
      <c r="H14" s="15">
        <v>1.7</v>
      </c>
      <c r="I14" s="15">
        <v>2</v>
      </c>
      <c r="J14" s="15">
        <v>2.5</v>
      </c>
      <c r="K14" s="15">
        <v>3.1</v>
      </c>
      <c r="L14" s="15">
        <v>2.8</v>
      </c>
      <c r="M14" s="15">
        <v>2.8</v>
      </c>
      <c r="N14" s="15">
        <v>3</v>
      </c>
      <c r="O14" s="15">
        <v>3.1</v>
      </c>
      <c r="P14" s="15">
        <v>2.9</v>
      </c>
      <c r="Q14" s="15">
        <v>3</v>
      </c>
    </row>
    <row r="15" spans="1:17" x14ac:dyDescent="0.15">
      <c r="A15" s="30">
        <v>-7</v>
      </c>
      <c r="B15" s="1" t="s">
        <v>86</v>
      </c>
      <c r="C15" s="15">
        <v>1.2</v>
      </c>
      <c r="D15" s="15">
        <v>1.5</v>
      </c>
      <c r="E15" s="15">
        <v>2</v>
      </c>
      <c r="F15" s="15">
        <v>2.2999999999999998</v>
      </c>
      <c r="G15" s="15">
        <v>2.8</v>
      </c>
      <c r="H15" s="15">
        <v>3.4</v>
      </c>
      <c r="I15" s="15">
        <v>3.3</v>
      </c>
      <c r="J15" s="15">
        <v>3.3</v>
      </c>
      <c r="K15" s="15">
        <v>4.5</v>
      </c>
      <c r="L15" s="15">
        <v>3.4</v>
      </c>
      <c r="M15" s="15">
        <v>3.7</v>
      </c>
      <c r="N15" s="15">
        <v>4.2</v>
      </c>
      <c r="O15" s="15">
        <v>4.5</v>
      </c>
      <c r="P15" s="15">
        <v>4.7</v>
      </c>
      <c r="Q15" s="15">
        <v>4.8</v>
      </c>
    </row>
    <row r="16" spans="1:17" x14ac:dyDescent="0.15">
      <c r="A16" s="30">
        <v>-8</v>
      </c>
      <c r="B16" s="1" t="s">
        <v>87</v>
      </c>
      <c r="C16" s="15">
        <v>1.1000000000000001</v>
      </c>
      <c r="D16" s="15">
        <v>3.1</v>
      </c>
      <c r="E16" s="15">
        <v>3.2</v>
      </c>
      <c r="F16" s="15">
        <v>2.4</v>
      </c>
      <c r="G16" s="15">
        <v>2.1</v>
      </c>
      <c r="H16" s="15">
        <v>2.2000000000000002</v>
      </c>
      <c r="I16" s="15">
        <v>2.5</v>
      </c>
      <c r="J16" s="15">
        <v>3</v>
      </c>
      <c r="K16" s="15">
        <v>3.7</v>
      </c>
      <c r="L16" s="15">
        <v>3.3</v>
      </c>
      <c r="M16" s="15">
        <v>2.9</v>
      </c>
      <c r="N16" s="15">
        <v>2.9</v>
      </c>
      <c r="O16" s="15">
        <v>3</v>
      </c>
      <c r="P16" s="15">
        <v>3.1</v>
      </c>
      <c r="Q16" s="15">
        <v>2.8</v>
      </c>
    </row>
    <row r="17" spans="1:17" x14ac:dyDescent="0.15">
      <c r="A17" s="30">
        <v>-9</v>
      </c>
      <c r="B17" s="1" t="s">
        <v>88</v>
      </c>
      <c r="C17" s="15">
        <v>12.3</v>
      </c>
      <c r="D17" s="15">
        <v>12.6</v>
      </c>
      <c r="E17" s="15">
        <v>10.6</v>
      </c>
      <c r="F17" s="15">
        <v>9.3000000000000007</v>
      </c>
      <c r="G17" s="15">
        <v>8.1</v>
      </c>
      <c r="H17" s="15">
        <v>6.7</v>
      </c>
      <c r="I17" s="15">
        <v>6.8</v>
      </c>
      <c r="J17" s="15">
        <v>5.8</v>
      </c>
      <c r="K17" s="15">
        <v>4.5999999999999996</v>
      </c>
      <c r="L17" s="15">
        <v>3.7</v>
      </c>
      <c r="M17" s="15">
        <v>4.3</v>
      </c>
      <c r="N17" s="15">
        <v>3.6</v>
      </c>
      <c r="O17" s="15">
        <v>3</v>
      </c>
      <c r="P17" s="15">
        <v>2.5</v>
      </c>
      <c r="Q17" s="15">
        <v>2.1</v>
      </c>
    </row>
    <row r="18" spans="1:17" x14ac:dyDescent="0.15">
      <c r="A18" s="30">
        <v>-10</v>
      </c>
      <c r="B18" s="1" t="s">
        <v>89</v>
      </c>
      <c r="C18" s="19">
        <v>-6.2</v>
      </c>
      <c r="D18" s="15">
        <v>5.7</v>
      </c>
      <c r="E18" s="15">
        <v>9.1999999999999993</v>
      </c>
      <c r="F18" s="15">
        <v>5.0999999999999996</v>
      </c>
      <c r="G18" s="15">
        <v>4.2</v>
      </c>
      <c r="H18" s="15">
        <v>5.5</v>
      </c>
      <c r="I18" s="15">
        <v>8.1</v>
      </c>
      <c r="J18" s="15">
        <v>13.5</v>
      </c>
      <c r="K18" s="15">
        <v>19.5</v>
      </c>
      <c r="L18" s="15">
        <v>19.2</v>
      </c>
      <c r="M18" s="15">
        <v>18.2</v>
      </c>
      <c r="N18" s="15">
        <v>18.600000000000001</v>
      </c>
      <c r="O18" s="15">
        <v>20.3</v>
      </c>
      <c r="P18" s="15">
        <v>22.8</v>
      </c>
      <c r="Q18" s="15">
        <v>21.1</v>
      </c>
    </row>
    <row r="19" spans="1:17" x14ac:dyDescent="0.15">
      <c r="A19" s="30">
        <v>-11</v>
      </c>
      <c r="B19" s="1" t="s">
        <v>90</v>
      </c>
    </row>
    <row r="20" spans="1:17" x14ac:dyDescent="0.15">
      <c r="A20" s="30">
        <v>-12</v>
      </c>
      <c r="B20" s="36" t="s">
        <v>91</v>
      </c>
      <c r="C20" s="15">
        <v>2.1</v>
      </c>
      <c r="D20" s="15">
        <v>6.4</v>
      </c>
      <c r="E20" s="15">
        <v>7</v>
      </c>
      <c r="F20" s="15">
        <v>5</v>
      </c>
      <c r="G20" s="15">
        <v>4.3</v>
      </c>
      <c r="H20" s="15">
        <v>4.0999999999999996</v>
      </c>
      <c r="I20" s="15">
        <v>5.0999999999999996</v>
      </c>
      <c r="J20" s="15">
        <v>6.5</v>
      </c>
      <c r="K20" s="15">
        <v>8</v>
      </c>
      <c r="L20" s="15">
        <v>7.7</v>
      </c>
      <c r="M20" s="15">
        <v>7.6</v>
      </c>
      <c r="N20" s="15">
        <v>7.5</v>
      </c>
      <c r="O20" s="15">
        <v>7.9</v>
      </c>
      <c r="P20" s="15">
        <v>8.8000000000000007</v>
      </c>
      <c r="Q20" s="15">
        <v>8.1</v>
      </c>
    </row>
    <row r="21" spans="1:17" x14ac:dyDescent="0.15">
      <c r="A21" s="30">
        <v>-13</v>
      </c>
      <c r="B21" s="36" t="s">
        <v>92</v>
      </c>
      <c r="C21" s="19">
        <v>-4.0999999999999996</v>
      </c>
      <c r="D21" s="19">
        <v>-4.2</v>
      </c>
      <c r="E21" s="19">
        <v>-3.5</v>
      </c>
      <c r="F21" s="19">
        <v>-3</v>
      </c>
      <c r="G21" s="19">
        <v>-2.6</v>
      </c>
      <c r="H21" s="19">
        <v>-2.1</v>
      </c>
      <c r="I21" s="19">
        <v>-2.1</v>
      </c>
      <c r="J21" s="19">
        <v>-1.8</v>
      </c>
      <c r="K21" s="19">
        <v>-1.3</v>
      </c>
      <c r="L21" s="19">
        <v>-1.1000000000000001</v>
      </c>
      <c r="M21" s="19">
        <v>-1.2</v>
      </c>
      <c r="N21" s="19">
        <v>-1</v>
      </c>
      <c r="O21" s="19">
        <v>-0.9</v>
      </c>
      <c r="P21" s="19">
        <v>-0.7</v>
      </c>
      <c r="Q21" s="19">
        <v>-0.6</v>
      </c>
    </row>
    <row r="22" spans="1:17" x14ac:dyDescent="0.15">
      <c r="A22" s="30">
        <v>-14</v>
      </c>
      <c r="B22" s="1" t="s">
        <v>93</v>
      </c>
      <c r="C22" s="19">
        <v>-2</v>
      </c>
      <c r="D22" s="15">
        <v>2.2000000000000002</v>
      </c>
      <c r="E22" s="15">
        <v>3.5</v>
      </c>
      <c r="F22" s="15">
        <v>2</v>
      </c>
      <c r="G22" s="15">
        <v>1.7</v>
      </c>
      <c r="H22" s="15">
        <v>2.1</v>
      </c>
      <c r="I22" s="15">
        <v>2.9</v>
      </c>
      <c r="J22" s="15">
        <v>4.7</v>
      </c>
      <c r="K22" s="15">
        <v>6.7</v>
      </c>
      <c r="L22" s="15">
        <v>6.6</v>
      </c>
      <c r="M22" s="15">
        <v>6.3</v>
      </c>
      <c r="N22" s="15">
        <v>6.5</v>
      </c>
      <c r="O22" s="15">
        <v>7.1</v>
      </c>
      <c r="P22" s="15">
        <v>8.1</v>
      </c>
      <c r="Q22" s="15">
        <v>7.5</v>
      </c>
    </row>
    <row r="23" spans="1:17" x14ac:dyDescent="0.15">
      <c r="A23" s="30">
        <v>-15</v>
      </c>
      <c r="B23" s="1" t="s">
        <v>94</v>
      </c>
      <c r="C23" s="19">
        <v>-4.2</v>
      </c>
      <c r="D23" s="15">
        <v>3.5</v>
      </c>
      <c r="E23" s="15">
        <v>5.8</v>
      </c>
      <c r="F23" s="15">
        <v>3.1</v>
      </c>
      <c r="G23" s="15">
        <v>2.6</v>
      </c>
      <c r="H23" s="15">
        <v>3.4</v>
      </c>
      <c r="I23" s="15">
        <v>5.0999999999999996</v>
      </c>
      <c r="J23" s="15">
        <v>8.8000000000000007</v>
      </c>
      <c r="K23" s="15">
        <v>12.8</v>
      </c>
      <c r="L23" s="15">
        <v>12.6</v>
      </c>
      <c r="M23" s="15">
        <v>11.8</v>
      </c>
      <c r="N23" s="15">
        <v>12.1</v>
      </c>
      <c r="O23" s="15">
        <v>13.3</v>
      </c>
      <c r="P23" s="15">
        <v>14.7</v>
      </c>
      <c r="Q23" s="15">
        <v>13.5</v>
      </c>
    </row>
    <row r="24" spans="1:17" x14ac:dyDescent="0.15">
      <c r="A24" s="30">
        <v>-16</v>
      </c>
      <c r="B24" s="1" t="s">
        <v>95</v>
      </c>
      <c r="C24" s="15">
        <v>8.3000000000000007</v>
      </c>
      <c r="D24" s="15">
        <v>8.4</v>
      </c>
      <c r="E24" s="15">
        <v>7.1</v>
      </c>
      <c r="F24" s="15">
        <v>6.3</v>
      </c>
      <c r="G24" s="15">
        <v>5.5</v>
      </c>
      <c r="H24" s="15">
        <v>4.5999999999999996</v>
      </c>
      <c r="I24" s="15">
        <v>4.7</v>
      </c>
      <c r="J24" s="15">
        <v>4</v>
      </c>
      <c r="K24" s="15">
        <v>3.2</v>
      </c>
      <c r="L24" s="15">
        <v>2.6</v>
      </c>
      <c r="M24" s="15">
        <v>3.1</v>
      </c>
      <c r="N24" s="15">
        <v>2.5</v>
      </c>
      <c r="O24" s="15">
        <v>2.2000000000000002</v>
      </c>
      <c r="P24" s="15">
        <v>1.9</v>
      </c>
      <c r="Q24" s="15">
        <v>1.6</v>
      </c>
    </row>
    <row r="25" spans="1:17" x14ac:dyDescent="0.15">
      <c r="A25" s="30">
        <v>-17</v>
      </c>
      <c r="B25" s="1" t="s">
        <v>96</v>
      </c>
      <c r="C25" s="15">
        <v>4</v>
      </c>
      <c r="D25" s="15">
        <v>11.9</v>
      </c>
      <c r="E25" s="15">
        <v>12.9</v>
      </c>
      <c r="F25" s="15">
        <v>9.3000000000000007</v>
      </c>
      <c r="G25" s="15">
        <v>8.1</v>
      </c>
      <c r="H25" s="15">
        <v>8</v>
      </c>
      <c r="I25" s="15">
        <v>9.8000000000000007</v>
      </c>
      <c r="J25" s="15">
        <v>12.8</v>
      </c>
      <c r="K25" s="15">
        <v>16</v>
      </c>
      <c r="L25" s="15">
        <v>15.2</v>
      </c>
      <c r="M25" s="15">
        <v>14.9</v>
      </c>
      <c r="N25" s="15">
        <v>14.7</v>
      </c>
      <c r="O25" s="15">
        <v>15.4</v>
      </c>
      <c r="P25" s="15">
        <v>16.600000000000001</v>
      </c>
      <c r="Q25" s="15">
        <v>15.1</v>
      </c>
    </row>
    <row r="26" spans="1:17" x14ac:dyDescent="0.15">
      <c r="A26" s="30">
        <v>-18</v>
      </c>
      <c r="B26" s="1" t="s">
        <v>97</v>
      </c>
      <c r="C26" s="15">
        <v>17.5</v>
      </c>
      <c r="D26" s="15">
        <v>17.7</v>
      </c>
      <c r="E26" s="15">
        <v>5.3</v>
      </c>
      <c r="F26" s="15">
        <v>4.0999999999999996</v>
      </c>
      <c r="G26" s="15">
        <v>3.5</v>
      </c>
      <c r="H26" s="15">
        <v>1.3</v>
      </c>
      <c r="I26" s="15">
        <v>0.1</v>
      </c>
      <c r="J26" s="15">
        <v>0.3</v>
      </c>
      <c r="K26" s="15">
        <v>0</v>
      </c>
      <c r="L26" s="15">
        <v>0.1</v>
      </c>
      <c r="M26" s="15">
        <v>8.1</v>
      </c>
      <c r="N26" s="19">
        <v>0</v>
      </c>
      <c r="O26" s="34">
        <v>0.2</v>
      </c>
      <c r="P26" s="19">
        <v>0</v>
      </c>
      <c r="Q26" s="19">
        <v>0</v>
      </c>
    </row>
    <row r="27" spans="1:17" x14ac:dyDescent="0.15">
      <c r="A27" s="30"/>
      <c r="B27" s="1"/>
    </row>
    <row r="28" spans="1:17" x14ac:dyDescent="0.15">
      <c r="A28" s="30">
        <v>-19</v>
      </c>
      <c r="B28" s="1" t="s">
        <v>98</v>
      </c>
      <c r="C28" s="19">
        <v>-13.5</v>
      </c>
      <c r="D28" s="19">
        <v>-5.8</v>
      </c>
      <c r="E28" s="15">
        <v>7.6</v>
      </c>
      <c r="F28" s="15">
        <v>5.2</v>
      </c>
      <c r="G28" s="15">
        <v>4.5999999999999996</v>
      </c>
      <c r="H28" s="15">
        <v>6.7</v>
      </c>
      <c r="I28" s="15">
        <v>9.6999999999999993</v>
      </c>
      <c r="J28" s="15">
        <v>12.5</v>
      </c>
      <c r="K28" s="15">
        <v>16</v>
      </c>
      <c r="L28" s="15">
        <v>15.1</v>
      </c>
      <c r="M28" s="15">
        <v>6.8</v>
      </c>
      <c r="N28" s="15">
        <v>14.7</v>
      </c>
      <c r="O28" s="15">
        <v>15.2</v>
      </c>
      <c r="P28" s="15">
        <v>16.5</v>
      </c>
      <c r="Q28" s="15">
        <v>15.1</v>
      </c>
    </row>
    <row r="29" spans="1:17" x14ac:dyDescent="0.15">
      <c r="A29" s="30"/>
      <c r="B29" s="1"/>
    </row>
    <row r="30" spans="1:17" x14ac:dyDescent="0.15">
      <c r="A30" s="30">
        <v>-20</v>
      </c>
      <c r="B30" s="1" t="s">
        <v>99</v>
      </c>
      <c r="Q30" s="15">
        <v>67.8</v>
      </c>
    </row>
    <row r="31" spans="1:17" x14ac:dyDescent="0.15">
      <c r="A31" s="30"/>
      <c r="B31" s="1"/>
    </row>
    <row r="32" spans="1:17" x14ac:dyDescent="0.15">
      <c r="A32" s="30">
        <v>-21</v>
      </c>
      <c r="B32" s="1" t="s">
        <v>100</v>
      </c>
      <c r="C32" s="19">
        <v>-13.5</v>
      </c>
      <c r="D32" s="19">
        <v>-19.3</v>
      </c>
      <c r="E32" s="19">
        <v>-11.7</v>
      </c>
      <c r="F32" s="19">
        <v>-6.4</v>
      </c>
      <c r="G32" s="19">
        <v>-1.9</v>
      </c>
      <c r="H32" s="15">
        <v>4.9000000000000004</v>
      </c>
      <c r="I32" s="15">
        <v>14.6</v>
      </c>
      <c r="J32" s="15">
        <v>27.1</v>
      </c>
      <c r="K32" s="15">
        <v>43.1</v>
      </c>
      <c r="L32" s="15">
        <v>58.2</v>
      </c>
      <c r="M32" s="15">
        <v>65</v>
      </c>
      <c r="N32" s="15">
        <v>79.7</v>
      </c>
      <c r="O32" s="15">
        <v>95</v>
      </c>
      <c r="P32" s="15">
        <v>111.5</v>
      </c>
      <c r="Q32" s="15">
        <v>194.3</v>
      </c>
    </row>
    <row r="33" spans="1:19" x14ac:dyDescent="0.15">
      <c r="A33" s="4"/>
      <c r="B33" s="4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9" x14ac:dyDescent="0.15">
      <c r="A34" s="1"/>
      <c r="B34" s="1"/>
    </row>
    <row r="35" spans="1:19" x14ac:dyDescent="0.15">
      <c r="A35" s="54" t="s">
        <v>105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</row>
    <row r="38" spans="1:19" x14ac:dyDescent="0.15">
      <c r="B38" s="56" t="s">
        <v>151</v>
      </c>
      <c r="C38" s="55">
        <f>C22/C18</f>
        <v>0.32258064516129031</v>
      </c>
      <c r="D38" s="55">
        <f t="shared" ref="D38:Q38" si="0">D22/D18</f>
        <v>0.38596491228070179</v>
      </c>
      <c r="E38" s="55">
        <f t="shared" si="0"/>
        <v>0.38043478260869568</v>
      </c>
      <c r="F38" s="55">
        <f t="shared" si="0"/>
        <v>0.39215686274509809</v>
      </c>
      <c r="G38" s="55">
        <f t="shared" si="0"/>
        <v>0.40476190476190471</v>
      </c>
      <c r="H38" s="55">
        <f t="shared" si="0"/>
        <v>0.38181818181818183</v>
      </c>
      <c r="I38" s="55">
        <f t="shared" si="0"/>
        <v>0.35802469135802467</v>
      </c>
      <c r="J38" s="55">
        <f t="shared" si="0"/>
        <v>0.34814814814814815</v>
      </c>
      <c r="K38" s="55">
        <f t="shared" si="0"/>
        <v>0.34358974358974359</v>
      </c>
      <c r="L38" s="55">
        <f t="shared" si="0"/>
        <v>0.34375</v>
      </c>
      <c r="M38" s="55">
        <f t="shared" si="0"/>
        <v>0.34615384615384615</v>
      </c>
      <c r="N38" s="55">
        <f t="shared" si="0"/>
        <v>0.34946236559139782</v>
      </c>
      <c r="O38" s="55">
        <f t="shared" si="0"/>
        <v>0.34975369458128075</v>
      </c>
      <c r="P38" s="55">
        <f t="shared" si="0"/>
        <v>0.35526315789473684</v>
      </c>
      <c r="Q38" s="55">
        <f t="shared" si="0"/>
        <v>0.3554502369668246</v>
      </c>
      <c r="S38" s="13">
        <f>AVERAGE(C38:Q38)</f>
        <v>0.36115421157732502</v>
      </c>
    </row>
  </sheetData>
  <mergeCells count="2">
    <mergeCell ref="A1:Q1"/>
    <mergeCell ref="A35:Q35"/>
  </mergeCells>
  <phoneticPr fontId="2" type="noConversion"/>
  <pageMargins left="0.75" right="0.75" top="1" bottom="1" header="0.5" footer="0.5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DFE8-FED5-984A-8FBC-9315712F2D63}">
  <dimension ref="A1:S38"/>
  <sheetViews>
    <sheetView workbookViewId="0">
      <selection activeCell="S38" sqref="S38"/>
    </sheetView>
  </sheetViews>
  <sheetFormatPr baseColWidth="10" defaultRowHeight="13" x14ac:dyDescent="0.15"/>
  <cols>
    <col min="1" max="1" width="4.6640625" customWidth="1"/>
    <col min="2" max="2" width="27.6640625" customWidth="1"/>
    <col min="3" max="3" width="6.6640625" customWidth="1"/>
    <col min="4" max="17" width="6.33203125" customWidth="1"/>
    <col min="18" max="256" width="8.83203125" customWidth="1"/>
  </cols>
  <sheetData>
    <row r="1" spans="1:17" x14ac:dyDescent="0.15">
      <c r="A1" s="48" t="s">
        <v>109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3" spans="1:17" x14ac:dyDescent="0.15">
      <c r="A3" s="3"/>
      <c r="B3" s="11" t="s">
        <v>108</v>
      </c>
      <c r="C3" s="3" t="s">
        <v>104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</row>
    <row r="4" spans="1:17" x14ac:dyDescent="0.15">
      <c r="B4" s="1"/>
    </row>
    <row r="5" spans="1:17" x14ac:dyDescent="0.15">
      <c r="B5" s="2" t="s">
        <v>80</v>
      </c>
    </row>
    <row r="6" spans="1:17" x14ac:dyDescent="0.15">
      <c r="A6" s="35">
        <v>-1</v>
      </c>
      <c r="B6" s="1" t="s">
        <v>81</v>
      </c>
      <c r="C6" s="15">
        <v>0.2</v>
      </c>
      <c r="D6" s="15">
        <v>0.3</v>
      </c>
      <c r="E6" s="15">
        <v>0.4</v>
      </c>
      <c r="F6" s="15">
        <v>0.4</v>
      </c>
      <c r="G6" s="15">
        <v>0.5</v>
      </c>
      <c r="H6" s="15">
        <v>0.5</v>
      </c>
      <c r="I6" s="15">
        <v>0.7</v>
      </c>
      <c r="J6" s="15">
        <v>0.9</v>
      </c>
      <c r="K6" s="15">
        <v>0.8</v>
      </c>
      <c r="L6" s="15">
        <v>0.7</v>
      </c>
      <c r="M6" s="15">
        <v>0.6</v>
      </c>
      <c r="N6" s="15">
        <v>0.5</v>
      </c>
      <c r="O6" s="15">
        <v>0.4</v>
      </c>
      <c r="P6" s="15">
        <v>0.4</v>
      </c>
      <c r="Q6" s="15">
        <v>0.3</v>
      </c>
    </row>
    <row r="7" spans="1:17" x14ac:dyDescent="0.15">
      <c r="A7" s="35">
        <v>-2</v>
      </c>
      <c r="B7" s="1" t="s">
        <v>2</v>
      </c>
      <c r="C7" s="15">
        <v>2.8</v>
      </c>
      <c r="D7" s="15">
        <v>4.2</v>
      </c>
      <c r="E7" s="15">
        <v>4.9000000000000004</v>
      </c>
      <c r="F7" s="15">
        <v>5.3</v>
      </c>
      <c r="G7" s="15">
        <v>4.2</v>
      </c>
      <c r="H7" s="15">
        <v>3.8</v>
      </c>
      <c r="I7" s="15">
        <v>4.5</v>
      </c>
      <c r="J7" s="15">
        <v>4.2</v>
      </c>
      <c r="K7" s="15">
        <v>3.3</v>
      </c>
      <c r="L7" s="15">
        <v>2.4</v>
      </c>
      <c r="M7" s="15">
        <v>2.1</v>
      </c>
      <c r="N7" s="15">
        <v>2</v>
      </c>
      <c r="O7" s="15">
        <v>1.5</v>
      </c>
      <c r="P7" s="15">
        <v>1.3</v>
      </c>
      <c r="Q7" s="15">
        <v>1.1000000000000001</v>
      </c>
    </row>
    <row r="8" spans="1:17" x14ac:dyDescent="0.15">
      <c r="A8" s="35"/>
      <c r="B8" s="1"/>
    </row>
    <row r="9" spans="1:17" x14ac:dyDescent="0.15">
      <c r="A9" s="35"/>
      <c r="B9" s="2" t="s">
        <v>82</v>
      </c>
    </row>
    <row r="10" spans="1:17" x14ac:dyDescent="0.15">
      <c r="A10" s="35">
        <v>-3</v>
      </c>
      <c r="B10" s="1" t="s">
        <v>83</v>
      </c>
      <c r="C10" s="15">
        <v>3.7</v>
      </c>
      <c r="D10" s="15">
        <v>6.3</v>
      </c>
      <c r="E10" s="15">
        <v>8</v>
      </c>
      <c r="F10" s="15">
        <v>9.6</v>
      </c>
      <c r="G10" s="15">
        <v>13.3</v>
      </c>
      <c r="H10" s="15">
        <v>14.3</v>
      </c>
      <c r="I10" s="15">
        <v>17</v>
      </c>
      <c r="J10" s="15">
        <v>19.600000000000001</v>
      </c>
      <c r="K10" s="15">
        <v>20.3</v>
      </c>
      <c r="L10" s="15">
        <v>19.8</v>
      </c>
      <c r="M10" s="15">
        <v>18.600000000000001</v>
      </c>
      <c r="N10" s="15">
        <v>17.100000000000001</v>
      </c>
      <c r="O10" s="15">
        <v>15.8</v>
      </c>
      <c r="P10" s="15">
        <v>14.5</v>
      </c>
      <c r="Q10" s="15">
        <v>13.4</v>
      </c>
    </row>
    <row r="11" spans="1:17" x14ac:dyDescent="0.15">
      <c r="A11" s="35">
        <v>-4</v>
      </c>
      <c r="B11" s="1" t="s">
        <v>84</v>
      </c>
      <c r="C11" s="15">
        <v>5.8</v>
      </c>
      <c r="D11" s="15">
        <v>9.4</v>
      </c>
      <c r="E11" s="15">
        <v>11.6</v>
      </c>
      <c r="F11" s="15">
        <v>14.1</v>
      </c>
      <c r="G11" s="15">
        <v>12.3</v>
      </c>
      <c r="H11" s="15">
        <v>12.3</v>
      </c>
      <c r="I11" s="15">
        <v>13</v>
      </c>
      <c r="J11" s="15">
        <v>11.6</v>
      </c>
      <c r="K11" s="15">
        <v>10.7</v>
      </c>
      <c r="L11" s="15">
        <v>9.3000000000000007</v>
      </c>
      <c r="M11" s="15">
        <v>9.5</v>
      </c>
      <c r="N11" s="15">
        <v>10.1</v>
      </c>
      <c r="O11" s="15">
        <v>8.8000000000000007</v>
      </c>
      <c r="P11" s="15">
        <v>8.1</v>
      </c>
      <c r="Q11" s="15">
        <v>7.3</v>
      </c>
    </row>
    <row r="12" spans="1:17" x14ac:dyDescent="0.15">
      <c r="A12" s="35">
        <v>-5</v>
      </c>
      <c r="B12" s="1" t="s">
        <v>14</v>
      </c>
      <c r="C12" s="15">
        <v>9.5</v>
      </c>
      <c r="D12" s="15">
        <v>15.7</v>
      </c>
      <c r="E12" s="15">
        <v>19.5</v>
      </c>
      <c r="F12" s="15">
        <v>23.7</v>
      </c>
      <c r="G12" s="15">
        <v>25.7</v>
      </c>
      <c r="H12" s="15">
        <v>26.6</v>
      </c>
      <c r="I12" s="15">
        <v>30</v>
      </c>
      <c r="J12" s="15">
        <v>31.2</v>
      </c>
      <c r="K12" s="15">
        <v>31</v>
      </c>
      <c r="L12" s="15">
        <v>29.2</v>
      </c>
      <c r="M12" s="15">
        <v>28.1</v>
      </c>
      <c r="N12" s="15">
        <v>27.2</v>
      </c>
      <c r="O12" s="15">
        <v>24.7</v>
      </c>
      <c r="P12" s="15">
        <v>22.6</v>
      </c>
      <c r="Q12" s="15">
        <v>20.6</v>
      </c>
    </row>
    <row r="13" spans="1:17" x14ac:dyDescent="0.15">
      <c r="A13" s="35"/>
      <c r="B13" s="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x14ac:dyDescent="0.15">
      <c r="A14" s="35">
        <v>-6</v>
      </c>
      <c r="B14" s="1" t="s">
        <v>85</v>
      </c>
      <c r="C14" s="15">
        <v>0.8</v>
      </c>
      <c r="D14" s="15">
        <v>1.3</v>
      </c>
      <c r="E14" s="15">
        <v>1.7</v>
      </c>
      <c r="F14" s="15">
        <v>2</v>
      </c>
      <c r="G14" s="15">
        <v>2.2000000000000002</v>
      </c>
      <c r="H14" s="15">
        <v>2.2999999999999998</v>
      </c>
      <c r="I14" s="15">
        <v>2.7</v>
      </c>
      <c r="J14" s="15">
        <v>2.9</v>
      </c>
      <c r="K14" s="15">
        <v>3.1</v>
      </c>
      <c r="L14" s="15">
        <v>3</v>
      </c>
      <c r="M14" s="15">
        <v>2.8</v>
      </c>
      <c r="N14" s="15">
        <v>2.7</v>
      </c>
      <c r="O14" s="15">
        <v>2.5</v>
      </c>
      <c r="P14" s="15">
        <v>2.2999999999999998</v>
      </c>
      <c r="Q14" s="15">
        <v>2.1</v>
      </c>
    </row>
    <row r="15" spans="1:17" x14ac:dyDescent="0.15">
      <c r="A15" s="35">
        <v>-7</v>
      </c>
      <c r="B15" s="1" t="s">
        <v>86</v>
      </c>
      <c r="C15" s="15">
        <v>0.4</v>
      </c>
      <c r="D15" s="15">
        <v>0.7</v>
      </c>
      <c r="E15" s="15">
        <v>0.8</v>
      </c>
      <c r="F15" s="15">
        <v>2.6</v>
      </c>
      <c r="G15" s="15">
        <v>4.4000000000000004</v>
      </c>
      <c r="H15" s="15">
        <v>4.7</v>
      </c>
      <c r="I15" s="15">
        <v>5.3</v>
      </c>
      <c r="J15" s="15">
        <v>5.7</v>
      </c>
      <c r="K15" s="15">
        <v>6</v>
      </c>
      <c r="L15" s="15">
        <v>6.4</v>
      </c>
      <c r="M15" s="15">
        <v>7</v>
      </c>
      <c r="N15" s="15">
        <v>7.4</v>
      </c>
      <c r="O15" s="15">
        <v>7.4</v>
      </c>
      <c r="P15" s="15">
        <v>7.3</v>
      </c>
      <c r="Q15" s="15">
        <v>7.2</v>
      </c>
    </row>
    <row r="16" spans="1:17" x14ac:dyDescent="0.15">
      <c r="A16" s="35">
        <v>-8</v>
      </c>
      <c r="B16" s="1" t="s">
        <v>87</v>
      </c>
      <c r="C16" s="15">
        <v>1.3</v>
      </c>
      <c r="D16" s="15">
        <v>1.9</v>
      </c>
      <c r="E16" s="15">
        <v>2.2999999999999998</v>
      </c>
      <c r="F16" s="15">
        <v>2.8</v>
      </c>
      <c r="G16" s="15">
        <v>3</v>
      </c>
      <c r="H16" s="15">
        <v>2.9</v>
      </c>
      <c r="I16" s="15">
        <v>3.1</v>
      </c>
      <c r="J16" s="15">
        <v>3.3</v>
      </c>
      <c r="K16" s="15">
        <v>3</v>
      </c>
      <c r="L16" s="15">
        <v>2.8</v>
      </c>
      <c r="M16" s="15">
        <v>2.6</v>
      </c>
      <c r="N16" s="15">
        <v>2.5</v>
      </c>
      <c r="O16" s="15">
        <v>2.2000000000000002</v>
      </c>
      <c r="P16" s="15">
        <v>2</v>
      </c>
      <c r="Q16" s="15">
        <v>1.9</v>
      </c>
    </row>
    <row r="17" spans="1:17" x14ac:dyDescent="0.15">
      <c r="A17" s="35">
        <v>-9</v>
      </c>
      <c r="B17" s="1" t="s">
        <v>88</v>
      </c>
      <c r="C17" s="15">
        <v>0.4</v>
      </c>
      <c r="D17" s="15">
        <v>0.8</v>
      </c>
      <c r="E17" s="15">
        <v>1.2</v>
      </c>
      <c r="F17" s="15">
        <v>2.5</v>
      </c>
      <c r="G17" s="15">
        <v>1.6</v>
      </c>
      <c r="H17" s="15">
        <v>1.3</v>
      </c>
      <c r="I17" s="15">
        <v>1.5</v>
      </c>
      <c r="J17" s="15">
        <v>2</v>
      </c>
      <c r="K17" s="15">
        <v>1.5</v>
      </c>
      <c r="L17" s="15">
        <v>1.4</v>
      </c>
      <c r="M17" s="15">
        <v>1.4</v>
      </c>
      <c r="N17" s="15">
        <v>1.4</v>
      </c>
      <c r="O17" s="15">
        <v>1.4</v>
      </c>
      <c r="P17" s="15">
        <v>1.3</v>
      </c>
      <c r="Q17" s="15">
        <v>1.3</v>
      </c>
    </row>
    <row r="18" spans="1:17" x14ac:dyDescent="0.15">
      <c r="A18" s="35">
        <v>-10</v>
      </c>
      <c r="B18" s="1" t="s">
        <v>89</v>
      </c>
      <c r="C18" s="15">
        <v>6.6</v>
      </c>
      <c r="D18" s="15">
        <v>11</v>
      </c>
      <c r="E18" s="15">
        <v>13.5</v>
      </c>
      <c r="F18" s="15">
        <v>13.8</v>
      </c>
      <c r="G18" s="15">
        <v>14.5</v>
      </c>
      <c r="H18" s="15">
        <v>15.4</v>
      </c>
      <c r="I18" s="15">
        <v>17.3</v>
      </c>
      <c r="J18" s="15">
        <v>17.399999999999999</v>
      </c>
      <c r="K18" s="15">
        <v>17.5</v>
      </c>
      <c r="L18" s="15">
        <v>15.5</v>
      </c>
      <c r="M18" s="15">
        <v>14.3</v>
      </c>
      <c r="N18" s="15">
        <v>13.3</v>
      </c>
      <c r="O18" s="15">
        <v>11.3</v>
      </c>
      <c r="P18" s="15">
        <v>9.6</v>
      </c>
      <c r="Q18" s="15">
        <v>8.1</v>
      </c>
    </row>
    <row r="19" spans="1:17" x14ac:dyDescent="0.15">
      <c r="A19" s="35">
        <v>-11</v>
      </c>
      <c r="B19" s="1" t="s">
        <v>90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15">
      <c r="A20" s="35">
        <v>-12</v>
      </c>
      <c r="B20" s="31" t="s">
        <v>91</v>
      </c>
      <c r="C20" s="15">
        <v>2.9</v>
      </c>
      <c r="D20" s="15">
        <v>3.7</v>
      </c>
      <c r="E20" s="15">
        <v>4.8</v>
      </c>
      <c r="F20" s="15">
        <v>4.8</v>
      </c>
      <c r="G20" s="15">
        <v>3.8</v>
      </c>
      <c r="H20" s="15">
        <v>4.2</v>
      </c>
      <c r="I20" s="15">
        <v>5.5</v>
      </c>
      <c r="J20" s="15">
        <v>5.8</v>
      </c>
      <c r="K20" s="15">
        <v>5.5</v>
      </c>
      <c r="L20" s="15">
        <v>5.4</v>
      </c>
      <c r="M20" s="15">
        <v>5</v>
      </c>
      <c r="N20" s="15">
        <v>4.7</v>
      </c>
      <c r="O20" s="15">
        <v>4</v>
      </c>
      <c r="P20" s="15">
        <v>3.5</v>
      </c>
      <c r="Q20" s="15">
        <v>3</v>
      </c>
    </row>
    <row r="21" spans="1:17" x14ac:dyDescent="0.15">
      <c r="A21" s="35">
        <v>-13</v>
      </c>
      <c r="B21" s="31" t="s">
        <v>92</v>
      </c>
      <c r="C21" s="19">
        <v>-0.2</v>
      </c>
      <c r="D21" s="15">
        <v>0</v>
      </c>
      <c r="E21" s="19">
        <v>-0.2</v>
      </c>
      <c r="F21" s="19">
        <v>-0.2</v>
      </c>
      <c r="G21" s="15">
        <v>0.3</v>
      </c>
      <c r="H21">
        <v>0.3</v>
      </c>
      <c r="I21" s="15">
        <v>0.1</v>
      </c>
      <c r="J21" s="45" t="s">
        <v>141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</row>
    <row r="22" spans="1:17" x14ac:dyDescent="0.15">
      <c r="A22" s="35">
        <v>-14</v>
      </c>
      <c r="B22" s="1" t="s">
        <v>93</v>
      </c>
      <c r="C22" s="15">
        <v>2.6</v>
      </c>
      <c r="D22" s="15">
        <v>3.7</v>
      </c>
      <c r="E22" s="15">
        <v>4.5999999999999996</v>
      </c>
      <c r="F22" s="15">
        <v>4.5</v>
      </c>
      <c r="G22" s="15">
        <v>4.0999999999999996</v>
      </c>
      <c r="H22" s="15">
        <v>4.5</v>
      </c>
      <c r="I22" s="15">
        <v>5.6</v>
      </c>
      <c r="J22" s="15">
        <v>5.7</v>
      </c>
      <c r="K22" s="15">
        <v>5.6</v>
      </c>
      <c r="L22" s="15">
        <v>5.4</v>
      </c>
      <c r="M22" s="15">
        <v>5</v>
      </c>
      <c r="N22" s="15">
        <v>4.7</v>
      </c>
      <c r="O22" s="15">
        <v>4</v>
      </c>
      <c r="P22" s="15">
        <v>3.5</v>
      </c>
      <c r="Q22" s="15">
        <v>3</v>
      </c>
    </row>
    <row r="23" spans="1:17" x14ac:dyDescent="0.15">
      <c r="A23" s="35">
        <v>-15</v>
      </c>
      <c r="B23" s="1" t="s">
        <v>94</v>
      </c>
      <c r="C23" s="15">
        <v>4</v>
      </c>
      <c r="D23" s="15">
        <v>7.3</v>
      </c>
      <c r="E23" s="15">
        <v>8.9</v>
      </c>
      <c r="F23" s="15">
        <v>9.3000000000000007</v>
      </c>
      <c r="G23" s="15">
        <v>10.5</v>
      </c>
      <c r="H23" s="15">
        <v>10.8</v>
      </c>
      <c r="I23" s="15">
        <v>11.7</v>
      </c>
      <c r="J23" s="15">
        <v>11.7</v>
      </c>
      <c r="K23" s="15">
        <v>11.9</v>
      </c>
      <c r="L23" s="15">
        <v>10.1</v>
      </c>
      <c r="M23" s="15">
        <v>9.3000000000000007</v>
      </c>
      <c r="N23" s="15">
        <v>8.6</v>
      </c>
      <c r="O23" s="15">
        <v>7.2</v>
      </c>
      <c r="P23" s="15">
        <v>6.1</v>
      </c>
      <c r="Q23" s="15">
        <v>5.0999999999999996</v>
      </c>
    </row>
    <row r="24" spans="1:17" x14ac:dyDescent="0.15">
      <c r="A24" s="35">
        <v>-16</v>
      </c>
      <c r="B24" s="1" t="s">
        <v>95</v>
      </c>
      <c r="C24" s="15">
        <v>0.2</v>
      </c>
      <c r="D24" s="15">
        <v>0.8</v>
      </c>
      <c r="E24" s="15">
        <v>1.1000000000000001</v>
      </c>
      <c r="F24" s="15">
        <v>2.2000000000000002</v>
      </c>
      <c r="G24" s="15">
        <v>1.9</v>
      </c>
      <c r="H24" s="15">
        <v>1.6</v>
      </c>
      <c r="I24" s="15">
        <v>1.6</v>
      </c>
      <c r="J24" s="15">
        <v>1.9</v>
      </c>
      <c r="K24" s="15">
        <v>1.6</v>
      </c>
      <c r="L24" s="15">
        <v>1.4</v>
      </c>
      <c r="M24" s="15">
        <v>1.4</v>
      </c>
      <c r="N24" s="15">
        <v>1.4</v>
      </c>
      <c r="O24" s="15">
        <v>1.4</v>
      </c>
      <c r="P24" s="15">
        <v>1.4</v>
      </c>
      <c r="Q24" s="15">
        <v>1.3</v>
      </c>
    </row>
    <row r="25" spans="1:17" x14ac:dyDescent="0.15">
      <c r="A25" s="35">
        <v>-17</v>
      </c>
      <c r="B25" s="1" t="s">
        <v>96</v>
      </c>
      <c r="C25" s="15">
        <v>4.2</v>
      </c>
      <c r="D25" s="15">
        <v>8.1</v>
      </c>
      <c r="E25" s="15">
        <v>9.9</v>
      </c>
      <c r="F25" s="15">
        <v>11.5</v>
      </c>
      <c r="G25" s="15">
        <v>12.3</v>
      </c>
      <c r="H25" s="15">
        <v>12.4</v>
      </c>
      <c r="I25" s="15">
        <v>13.4</v>
      </c>
      <c r="J25" s="15">
        <v>13.6</v>
      </c>
      <c r="K25" s="15">
        <v>13.5</v>
      </c>
      <c r="L25" s="15">
        <v>11.5</v>
      </c>
      <c r="M25" s="15">
        <v>10.7</v>
      </c>
      <c r="N25" s="15">
        <v>10</v>
      </c>
      <c r="O25" s="15">
        <v>8.6</v>
      </c>
      <c r="P25" s="15">
        <v>7.5</v>
      </c>
      <c r="Q25" s="15">
        <v>6.4</v>
      </c>
    </row>
    <row r="26" spans="1:17" x14ac:dyDescent="0.15">
      <c r="A26" s="35">
        <v>-18</v>
      </c>
      <c r="B26" s="1" t="s">
        <v>97</v>
      </c>
      <c r="C26" s="15">
        <v>10</v>
      </c>
      <c r="D26" s="15">
        <v>4.3</v>
      </c>
      <c r="E26" s="15">
        <v>11.4</v>
      </c>
      <c r="F26" s="15">
        <v>14</v>
      </c>
      <c r="G26" s="15">
        <v>2.6</v>
      </c>
      <c r="H26" s="15">
        <v>0.5</v>
      </c>
      <c r="I26" s="15">
        <v>0.3</v>
      </c>
      <c r="J26" s="15">
        <v>0.6</v>
      </c>
      <c r="K26" s="15">
        <v>0.3</v>
      </c>
      <c r="L26" s="15">
        <v>0.5</v>
      </c>
      <c r="M26" s="15">
        <v>0.5</v>
      </c>
      <c r="N26" s="15">
        <v>0</v>
      </c>
      <c r="O26" s="15">
        <v>0.2</v>
      </c>
      <c r="P26" s="15">
        <v>0.5</v>
      </c>
      <c r="Q26" s="15">
        <v>0</v>
      </c>
    </row>
    <row r="27" spans="1:17" x14ac:dyDescent="0.15">
      <c r="A27" s="35"/>
      <c r="B27" s="1"/>
    </row>
    <row r="28" spans="1:17" x14ac:dyDescent="0.15">
      <c r="A28" s="35">
        <v>-19</v>
      </c>
      <c r="B28" s="1" t="s">
        <v>98</v>
      </c>
      <c r="C28" s="19">
        <v>-5.8</v>
      </c>
      <c r="D28" s="15">
        <v>3.8</v>
      </c>
      <c r="E28" s="19">
        <v>-1.5</v>
      </c>
      <c r="F28" s="19">
        <v>-2.5</v>
      </c>
      <c r="G28" s="15">
        <v>9.6999999999999993</v>
      </c>
      <c r="H28" s="15">
        <v>11.9</v>
      </c>
      <c r="I28" s="15">
        <v>13.1</v>
      </c>
      <c r="J28" s="15">
        <v>13</v>
      </c>
      <c r="K28" s="15">
        <v>13.2</v>
      </c>
      <c r="L28" s="15">
        <v>11</v>
      </c>
      <c r="M28" s="15">
        <v>10.199999999999999</v>
      </c>
      <c r="N28" s="15">
        <v>10</v>
      </c>
      <c r="O28" s="15">
        <v>8.4</v>
      </c>
      <c r="P28" s="15">
        <v>7</v>
      </c>
      <c r="Q28" s="15">
        <v>6.4</v>
      </c>
    </row>
    <row r="29" spans="1:17" x14ac:dyDescent="0.15">
      <c r="A29" s="35"/>
      <c r="B29" s="1"/>
    </row>
    <row r="30" spans="1:17" x14ac:dyDescent="0.15">
      <c r="A30" s="35">
        <v>-20</v>
      </c>
      <c r="B30" s="1" t="s">
        <v>99</v>
      </c>
      <c r="Q30" s="15">
        <v>51</v>
      </c>
    </row>
    <row r="31" spans="1:17" x14ac:dyDescent="0.15">
      <c r="A31" s="35"/>
      <c r="B31" s="1"/>
    </row>
    <row r="32" spans="1:17" x14ac:dyDescent="0.15">
      <c r="A32" s="35">
        <v>-21</v>
      </c>
      <c r="B32" s="1" t="s">
        <v>100</v>
      </c>
      <c r="C32" s="19">
        <v>-5.8</v>
      </c>
      <c r="D32" s="19">
        <v>-2</v>
      </c>
      <c r="E32" s="19">
        <v>-3.5</v>
      </c>
      <c r="F32" s="19">
        <v>-6</v>
      </c>
      <c r="G32" s="15">
        <v>3.7</v>
      </c>
      <c r="H32" s="15">
        <v>15.7</v>
      </c>
      <c r="I32" s="15">
        <v>28.8</v>
      </c>
      <c r="J32" s="15">
        <v>41.8</v>
      </c>
      <c r="K32" s="15">
        <v>55</v>
      </c>
      <c r="L32" s="15">
        <v>66</v>
      </c>
      <c r="M32" s="15">
        <v>76.3</v>
      </c>
      <c r="N32" s="15">
        <v>86.3</v>
      </c>
      <c r="O32" s="15">
        <v>94.7</v>
      </c>
      <c r="P32" s="15">
        <v>101.7</v>
      </c>
      <c r="Q32" s="15">
        <v>159</v>
      </c>
    </row>
    <row r="33" spans="1:19" x14ac:dyDescent="0.15">
      <c r="A33" s="32"/>
      <c r="B33" s="4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9" x14ac:dyDescent="0.15">
      <c r="B34" s="1"/>
    </row>
    <row r="35" spans="1:19" x14ac:dyDescent="0.15">
      <c r="A35" s="54" t="s">
        <v>105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</row>
    <row r="38" spans="1:19" x14ac:dyDescent="0.15">
      <c r="B38" s="56" t="s">
        <v>151</v>
      </c>
      <c r="C38" s="55">
        <f>C22/C18</f>
        <v>0.39393939393939398</v>
      </c>
      <c r="D38" s="55">
        <f t="shared" ref="D38:Q38" si="0">D22/D18</f>
        <v>0.33636363636363636</v>
      </c>
      <c r="E38" s="55">
        <f t="shared" si="0"/>
        <v>0.34074074074074073</v>
      </c>
      <c r="F38" s="55">
        <f t="shared" si="0"/>
        <v>0.32608695652173914</v>
      </c>
      <c r="G38" s="55">
        <f t="shared" si="0"/>
        <v>0.28275862068965513</v>
      </c>
      <c r="H38" s="55">
        <f t="shared" si="0"/>
        <v>0.29220779220779219</v>
      </c>
      <c r="I38" s="55">
        <f t="shared" si="0"/>
        <v>0.32369942196531787</v>
      </c>
      <c r="J38" s="55">
        <f t="shared" si="0"/>
        <v>0.32758620689655177</v>
      </c>
      <c r="K38" s="55">
        <f t="shared" si="0"/>
        <v>0.32</v>
      </c>
      <c r="L38" s="55">
        <f t="shared" si="0"/>
        <v>0.34838709677419355</v>
      </c>
      <c r="M38" s="55">
        <f t="shared" si="0"/>
        <v>0.34965034965034963</v>
      </c>
      <c r="N38" s="55">
        <f t="shared" si="0"/>
        <v>0.35338345864661652</v>
      </c>
      <c r="O38" s="55">
        <f t="shared" si="0"/>
        <v>0.35398230088495575</v>
      </c>
      <c r="P38" s="55">
        <f t="shared" si="0"/>
        <v>0.36458333333333337</v>
      </c>
      <c r="Q38" s="55">
        <f t="shared" si="0"/>
        <v>0.37037037037037041</v>
      </c>
      <c r="S38" s="13"/>
    </row>
  </sheetData>
  <mergeCells count="2">
    <mergeCell ref="A1:Q1"/>
    <mergeCell ref="A35:Q35"/>
  </mergeCells>
  <phoneticPr fontId="2" type="noConversion"/>
  <pageMargins left="0.75" right="0.75" top="1" bottom="1" header="0.5" footer="0.5"/>
  <pageSetup paperSize="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5211-8C3A-C34C-9846-5307D3CDE1B9}">
  <dimension ref="A1:S38"/>
  <sheetViews>
    <sheetView workbookViewId="0">
      <selection activeCell="A26" sqref="A26:IV26"/>
    </sheetView>
  </sheetViews>
  <sheetFormatPr baseColWidth="10" defaultRowHeight="13" x14ac:dyDescent="0.15"/>
  <cols>
    <col min="1" max="1" width="4.33203125" customWidth="1"/>
    <col min="2" max="2" width="27.6640625" customWidth="1"/>
    <col min="3" max="3" width="6.6640625" customWidth="1"/>
    <col min="4" max="17" width="6.33203125" customWidth="1"/>
    <col min="18" max="256" width="8.83203125" customWidth="1"/>
  </cols>
  <sheetData>
    <row r="1" spans="1:17" x14ac:dyDescent="0.15">
      <c r="A1" s="48" t="s">
        <v>111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3" spans="1:17" x14ac:dyDescent="0.15">
      <c r="A3" s="33"/>
      <c r="B3" s="11" t="s">
        <v>110</v>
      </c>
      <c r="C3" s="3" t="s">
        <v>104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</row>
    <row r="4" spans="1:17" x14ac:dyDescent="0.15">
      <c r="A4" s="1"/>
      <c r="B4" s="1"/>
    </row>
    <row r="5" spans="1:17" x14ac:dyDescent="0.15">
      <c r="A5" s="1"/>
      <c r="B5" s="2" t="s">
        <v>80</v>
      </c>
    </row>
    <row r="6" spans="1:17" x14ac:dyDescent="0.15">
      <c r="A6" s="30">
        <v>-1</v>
      </c>
      <c r="B6" s="1" t="s">
        <v>81</v>
      </c>
      <c r="C6" s="15">
        <v>0.1</v>
      </c>
      <c r="D6" s="15">
        <v>0.8</v>
      </c>
      <c r="E6" s="15">
        <v>0.9</v>
      </c>
      <c r="F6" s="15">
        <v>0.8</v>
      </c>
      <c r="G6" s="15">
        <v>0.8</v>
      </c>
      <c r="H6" s="15">
        <v>1</v>
      </c>
      <c r="I6" s="15">
        <v>1.6</v>
      </c>
      <c r="J6" s="15">
        <v>2.1</v>
      </c>
      <c r="K6" s="15">
        <v>2.4</v>
      </c>
      <c r="L6" s="15">
        <v>2.2999999999999998</v>
      </c>
      <c r="M6" s="15">
        <v>2</v>
      </c>
      <c r="N6" s="15">
        <v>1.7</v>
      </c>
      <c r="O6" s="15">
        <v>1.6</v>
      </c>
      <c r="P6" s="15">
        <v>1.4</v>
      </c>
      <c r="Q6" s="15">
        <v>1.2</v>
      </c>
    </row>
    <row r="7" spans="1:17" x14ac:dyDescent="0.15">
      <c r="A7" s="30">
        <v>-2</v>
      </c>
      <c r="B7" s="1" t="s">
        <v>2</v>
      </c>
      <c r="C7" s="15">
        <v>0.5</v>
      </c>
      <c r="D7" s="15">
        <v>3.5</v>
      </c>
      <c r="E7" s="15">
        <v>3.8</v>
      </c>
      <c r="F7" s="15">
        <v>3.9</v>
      </c>
      <c r="G7" s="15">
        <v>3.6</v>
      </c>
      <c r="H7" s="15">
        <v>3.7</v>
      </c>
      <c r="I7" s="15">
        <v>3.2</v>
      </c>
      <c r="J7" s="15">
        <v>3</v>
      </c>
      <c r="K7" s="15">
        <v>3.2</v>
      </c>
      <c r="L7" s="15">
        <v>2.8</v>
      </c>
      <c r="M7" s="15">
        <v>1.9</v>
      </c>
      <c r="N7" s="15">
        <v>1.3</v>
      </c>
      <c r="O7" s="15">
        <v>1.4</v>
      </c>
      <c r="P7" s="15">
        <v>1.2</v>
      </c>
      <c r="Q7" s="15">
        <v>1</v>
      </c>
    </row>
    <row r="8" spans="1:17" x14ac:dyDescent="0.15">
      <c r="A8" s="30"/>
      <c r="B8" s="1"/>
    </row>
    <row r="9" spans="1:17" x14ac:dyDescent="0.15">
      <c r="A9" s="30"/>
      <c r="B9" s="2" t="s">
        <v>82</v>
      </c>
    </row>
    <row r="10" spans="1:17" x14ac:dyDescent="0.15">
      <c r="A10" s="30">
        <v>-3</v>
      </c>
      <c r="B10" s="1" t="s">
        <v>83</v>
      </c>
      <c r="C10" s="15">
        <v>2.1</v>
      </c>
      <c r="D10" s="15">
        <v>10.1</v>
      </c>
      <c r="E10" s="15">
        <v>13.2</v>
      </c>
      <c r="F10" s="15">
        <v>14.4</v>
      </c>
      <c r="G10" s="15">
        <v>18</v>
      </c>
      <c r="H10" s="15">
        <v>24.1</v>
      </c>
      <c r="I10" s="15">
        <v>42.3</v>
      </c>
      <c r="J10" s="15">
        <v>59.1</v>
      </c>
      <c r="K10" s="15">
        <v>67.400000000000006</v>
      </c>
      <c r="L10" s="15">
        <v>69.400000000000006</v>
      </c>
      <c r="M10" s="15">
        <v>66.8</v>
      </c>
      <c r="N10" s="15">
        <v>62.7</v>
      </c>
      <c r="O10" s="15">
        <v>59.7</v>
      </c>
      <c r="P10" s="15">
        <v>56.4</v>
      </c>
      <c r="Q10" s="15">
        <v>52</v>
      </c>
    </row>
    <row r="11" spans="1:17" x14ac:dyDescent="0.15">
      <c r="A11" s="30">
        <v>-4</v>
      </c>
      <c r="B11" s="1" t="s">
        <v>84</v>
      </c>
      <c r="C11" s="15">
        <v>0.6</v>
      </c>
      <c r="D11" s="15">
        <v>3.6</v>
      </c>
      <c r="E11" s="15">
        <v>5.0999999999999996</v>
      </c>
      <c r="F11" s="15">
        <v>6.9</v>
      </c>
      <c r="G11" s="15">
        <v>7.2</v>
      </c>
      <c r="H11" s="15">
        <v>7.7</v>
      </c>
      <c r="I11" s="15">
        <v>7.7</v>
      </c>
      <c r="J11" s="15">
        <v>7</v>
      </c>
      <c r="K11" s="15">
        <v>7.8</v>
      </c>
      <c r="L11" s="15">
        <v>9.3000000000000007</v>
      </c>
      <c r="M11" s="15">
        <v>8.1</v>
      </c>
      <c r="N11" s="15">
        <v>6.1</v>
      </c>
      <c r="O11" s="15">
        <v>5.9</v>
      </c>
      <c r="P11" s="15">
        <v>5.9</v>
      </c>
      <c r="Q11" s="15">
        <v>5.7</v>
      </c>
    </row>
    <row r="12" spans="1:17" x14ac:dyDescent="0.15">
      <c r="A12" s="30">
        <v>-5</v>
      </c>
      <c r="B12" s="1" t="s">
        <v>14</v>
      </c>
      <c r="C12" s="15">
        <v>2.7</v>
      </c>
      <c r="D12" s="15">
        <v>13.7</v>
      </c>
      <c r="E12" s="15">
        <v>18.3</v>
      </c>
      <c r="F12" s="15">
        <v>21.3</v>
      </c>
      <c r="G12" s="15">
        <v>25.1</v>
      </c>
      <c r="H12" s="15">
        <v>31.8</v>
      </c>
      <c r="I12" s="15">
        <v>50</v>
      </c>
      <c r="J12" s="15">
        <v>66.099999999999994</v>
      </c>
      <c r="K12" s="15">
        <v>75.2</v>
      </c>
      <c r="L12" s="15">
        <v>78.7</v>
      </c>
      <c r="M12" s="15">
        <v>74.900000000000006</v>
      </c>
      <c r="N12" s="15">
        <v>68.8</v>
      </c>
      <c r="O12" s="15">
        <v>65.7</v>
      </c>
      <c r="P12" s="15">
        <v>62.3</v>
      </c>
      <c r="Q12" s="15">
        <v>57.7</v>
      </c>
    </row>
    <row r="13" spans="1:17" x14ac:dyDescent="0.15">
      <c r="A13" s="30"/>
      <c r="B13" s="1"/>
    </row>
    <row r="14" spans="1:17" x14ac:dyDescent="0.15">
      <c r="A14" s="30">
        <v>-6</v>
      </c>
      <c r="B14" s="1" t="s">
        <v>85</v>
      </c>
      <c r="C14" s="15">
        <v>0.3</v>
      </c>
      <c r="D14" s="15">
        <v>1.2</v>
      </c>
      <c r="E14" s="15">
        <v>1.6</v>
      </c>
      <c r="F14" s="15">
        <v>1.8</v>
      </c>
      <c r="G14" s="15">
        <v>2.2000000000000002</v>
      </c>
      <c r="H14" s="15">
        <v>2.8</v>
      </c>
      <c r="I14" s="15">
        <v>5</v>
      </c>
      <c r="J14" s="15">
        <v>6.8</v>
      </c>
      <c r="K14" s="15">
        <v>7.9</v>
      </c>
      <c r="L14" s="15">
        <v>8</v>
      </c>
      <c r="M14" s="15">
        <v>7.1</v>
      </c>
      <c r="N14" s="15">
        <v>6.7</v>
      </c>
      <c r="O14" s="15">
        <v>6.4</v>
      </c>
      <c r="P14" s="15">
        <v>6.1</v>
      </c>
      <c r="Q14" s="15">
        <v>5.6</v>
      </c>
    </row>
    <row r="15" spans="1:17" x14ac:dyDescent="0.15">
      <c r="A15" s="30">
        <v>-7</v>
      </c>
      <c r="B15" s="1" t="s">
        <v>86</v>
      </c>
      <c r="C15" s="15">
        <v>0.2</v>
      </c>
      <c r="D15" s="15">
        <v>1</v>
      </c>
      <c r="E15" s="15">
        <v>1.5</v>
      </c>
      <c r="F15" s="15">
        <v>2.1</v>
      </c>
      <c r="G15" s="15">
        <v>6.5</v>
      </c>
      <c r="H15" s="15">
        <v>13.1</v>
      </c>
      <c r="I15" s="15">
        <v>21.2</v>
      </c>
      <c r="J15" s="15">
        <v>31.9</v>
      </c>
      <c r="K15" s="15">
        <v>33</v>
      </c>
      <c r="L15" s="15">
        <v>35.1</v>
      </c>
      <c r="M15" s="15">
        <v>26.4</v>
      </c>
      <c r="N15" s="15">
        <v>26.3</v>
      </c>
      <c r="O15" s="15">
        <v>25.7</v>
      </c>
      <c r="P15" s="15">
        <v>25.8</v>
      </c>
      <c r="Q15" s="15">
        <v>25.6</v>
      </c>
    </row>
    <row r="16" spans="1:17" x14ac:dyDescent="0.15">
      <c r="A16" s="30">
        <v>-8</v>
      </c>
      <c r="B16" s="1" t="s">
        <v>87</v>
      </c>
      <c r="C16" s="15">
        <v>0.4</v>
      </c>
      <c r="D16" s="15">
        <v>1.6</v>
      </c>
      <c r="E16" s="15">
        <v>2.1</v>
      </c>
      <c r="F16" s="15">
        <v>2.5</v>
      </c>
      <c r="G16" s="15">
        <v>2.9</v>
      </c>
      <c r="H16" s="15">
        <v>3.4</v>
      </c>
      <c r="I16" s="15">
        <v>5.2</v>
      </c>
      <c r="J16" s="15">
        <v>6.9</v>
      </c>
      <c r="K16" s="15">
        <v>7.3</v>
      </c>
      <c r="L16" s="15">
        <v>7.6</v>
      </c>
      <c r="M16" s="15">
        <v>6.9</v>
      </c>
      <c r="N16" s="15">
        <v>6.3</v>
      </c>
      <c r="O16" s="15">
        <v>5.9</v>
      </c>
      <c r="P16" s="15">
        <v>5.7</v>
      </c>
      <c r="Q16" s="15">
        <v>5.3</v>
      </c>
    </row>
    <row r="17" spans="1:17" x14ac:dyDescent="0.15">
      <c r="A17" s="30">
        <v>-9</v>
      </c>
      <c r="B17" s="1" t="s">
        <v>88</v>
      </c>
      <c r="C17" s="15">
        <v>0.7</v>
      </c>
      <c r="D17" s="15">
        <v>1.4</v>
      </c>
      <c r="E17" s="15">
        <v>2.2000000000000002</v>
      </c>
      <c r="F17" s="15">
        <v>4.9000000000000004</v>
      </c>
      <c r="G17" s="15">
        <v>3.5</v>
      </c>
      <c r="H17" s="15">
        <v>3.1</v>
      </c>
      <c r="I17" s="15">
        <v>3.6</v>
      </c>
      <c r="J17" s="15">
        <v>4.5</v>
      </c>
      <c r="K17" s="15">
        <v>3.5</v>
      </c>
      <c r="L17" s="15">
        <v>3.3</v>
      </c>
      <c r="M17" s="15">
        <v>3.3</v>
      </c>
      <c r="N17" s="15">
        <v>3.2</v>
      </c>
      <c r="O17" s="15">
        <v>3.2</v>
      </c>
      <c r="P17" s="15">
        <v>3.1</v>
      </c>
      <c r="Q17" s="15">
        <v>3.1</v>
      </c>
    </row>
    <row r="18" spans="1:17" x14ac:dyDescent="0.15">
      <c r="A18" s="30">
        <v>-10</v>
      </c>
      <c r="B18" s="1" t="s">
        <v>89</v>
      </c>
      <c r="C18" s="15">
        <v>1.2</v>
      </c>
      <c r="D18" s="15">
        <v>8.5</v>
      </c>
      <c r="E18" s="15">
        <v>10.9</v>
      </c>
      <c r="F18" s="15">
        <v>10</v>
      </c>
      <c r="G18" s="15">
        <v>10</v>
      </c>
      <c r="H18" s="15">
        <v>9.4</v>
      </c>
      <c r="I18" s="15">
        <v>15</v>
      </c>
      <c r="J18" s="15">
        <v>16</v>
      </c>
      <c r="K18" s="15">
        <v>23.4</v>
      </c>
      <c r="L18" s="15">
        <v>24.6</v>
      </c>
      <c r="M18" s="15">
        <v>31.1</v>
      </c>
      <c r="N18" s="15">
        <v>26.2</v>
      </c>
      <c r="O18" s="15">
        <v>24.5</v>
      </c>
      <c r="P18" s="15">
        <v>21.6</v>
      </c>
      <c r="Q18" s="15">
        <v>18.100000000000001</v>
      </c>
    </row>
    <row r="19" spans="1:17" x14ac:dyDescent="0.15">
      <c r="A19" s="30">
        <v>-11</v>
      </c>
      <c r="B19" s="1" t="s">
        <v>90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15">
      <c r="A20" s="30">
        <v>-12</v>
      </c>
      <c r="B20" s="36" t="s">
        <v>91</v>
      </c>
      <c r="C20" s="15">
        <v>0.8</v>
      </c>
      <c r="D20" s="15">
        <v>3.1</v>
      </c>
      <c r="E20" s="15">
        <v>4.2</v>
      </c>
      <c r="F20" s="15">
        <v>4.4000000000000004</v>
      </c>
      <c r="G20" s="15">
        <v>3.2</v>
      </c>
      <c r="H20" s="15">
        <v>3.2</v>
      </c>
      <c r="I20" s="15">
        <v>5.4</v>
      </c>
      <c r="J20" s="15">
        <v>6.1</v>
      </c>
      <c r="K20" s="15">
        <v>7.8</v>
      </c>
      <c r="L20" s="15">
        <v>8.9</v>
      </c>
      <c r="M20" s="15">
        <v>10.9</v>
      </c>
      <c r="N20" s="15">
        <v>9.4</v>
      </c>
      <c r="O20" s="15">
        <v>8.8000000000000007</v>
      </c>
      <c r="P20" s="15">
        <v>7.9</v>
      </c>
      <c r="Q20" s="15">
        <v>6.7</v>
      </c>
    </row>
    <row r="21" spans="1:17" x14ac:dyDescent="0.15">
      <c r="A21" s="30">
        <v>-13</v>
      </c>
      <c r="B21" s="36" t="s">
        <v>92</v>
      </c>
      <c r="C21" s="19">
        <v>-0.4</v>
      </c>
      <c r="D21" s="45" t="s">
        <v>141</v>
      </c>
      <c r="E21" s="19">
        <v>-0.3</v>
      </c>
      <c r="F21" s="19">
        <v>-0.5</v>
      </c>
      <c r="G21">
        <v>0.7</v>
      </c>
      <c r="H21">
        <v>0.7</v>
      </c>
      <c r="I21">
        <v>0.2</v>
      </c>
      <c r="J21" s="19">
        <v>-0.2</v>
      </c>
      <c r="K21">
        <v>0.2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</row>
    <row r="22" spans="1:17" x14ac:dyDescent="0.15">
      <c r="A22" s="30">
        <v>-14</v>
      </c>
      <c r="B22" s="1" t="s">
        <v>93</v>
      </c>
      <c r="C22" s="15">
        <v>0.3</v>
      </c>
      <c r="D22" s="15">
        <v>3.1</v>
      </c>
      <c r="E22" s="15">
        <v>4</v>
      </c>
      <c r="F22" s="15">
        <v>3.9</v>
      </c>
      <c r="G22" s="15">
        <v>3.8</v>
      </c>
      <c r="H22" s="15">
        <v>3.9</v>
      </c>
      <c r="I22" s="15">
        <v>5.6</v>
      </c>
      <c r="J22" s="15">
        <v>6</v>
      </c>
      <c r="K22" s="15">
        <v>8</v>
      </c>
      <c r="L22" s="15">
        <v>8.9</v>
      </c>
      <c r="M22" s="15">
        <v>11</v>
      </c>
      <c r="N22" s="15">
        <v>9.4</v>
      </c>
      <c r="O22" s="15">
        <v>8.8000000000000007</v>
      </c>
      <c r="P22" s="15">
        <v>7.9</v>
      </c>
      <c r="Q22" s="15">
        <v>6.8</v>
      </c>
    </row>
    <row r="23" spans="1:17" x14ac:dyDescent="0.15">
      <c r="A23" s="30">
        <v>-15</v>
      </c>
      <c r="B23" s="1" t="s">
        <v>94</v>
      </c>
      <c r="C23" s="15">
        <v>0.8</v>
      </c>
      <c r="D23" s="15">
        <v>5.4</v>
      </c>
      <c r="E23" s="15">
        <v>7</v>
      </c>
      <c r="F23" s="15">
        <v>6.2</v>
      </c>
      <c r="G23" s="15">
        <v>6.1</v>
      </c>
      <c r="H23" s="15">
        <v>5.5</v>
      </c>
      <c r="I23" s="15">
        <v>9.3000000000000007</v>
      </c>
      <c r="J23" s="15">
        <v>10</v>
      </c>
      <c r="K23" s="15">
        <v>15.4</v>
      </c>
      <c r="L23" s="15">
        <v>15.7</v>
      </c>
      <c r="M23" s="15">
        <v>20.2</v>
      </c>
      <c r="N23" s="15">
        <v>16.899999999999999</v>
      </c>
      <c r="O23" s="15">
        <v>15.7</v>
      </c>
      <c r="P23" s="15">
        <v>13.7</v>
      </c>
      <c r="Q23" s="15">
        <v>11.4</v>
      </c>
    </row>
    <row r="24" spans="1:17" x14ac:dyDescent="0.15">
      <c r="A24" s="30">
        <v>-16</v>
      </c>
      <c r="B24" s="1" t="s">
        <v>95</v>
      </c>
      <c r="C24" s="15">
        <v>0.3</v>
      </c>
      <c r="D24" s="15">
        <v>1.4</v>
      </c>
      <c r="E24" s="15">
        <v>1.9</v>
      </c>
      <c r="F24" s="15">
        <v>4.4000000000000004</v>
      </c>
      <c r="G24" s="15">
        <v>4.2</v>
      </c>
      <c r="H24" s="15">
        <v>3.8</v>
      </c>
      <c r="I24" s="15">
        <v>3.8</v>
      </c>
      <c r="J24" s="15">
        <v>4.4000000000000004</v>
      </c>
      <c r="K24" s="15">
        <v>3.7</v>
      </c>
      <c r="L24" s="15">
        <v>3.3</v>
      </c>
      <c r="M24" s="15">
        <v>3.3</v>
      </c>
      <c r="N24" s="15">
        <v>3.3</v>
      </c>
      <c r="O24" s="15">
        <v>3.2</v>
      </c>
      <c r="P24" s="15">
        <v>3.2</v>
      </c>
      <c r="Q24" s="15">
        <v>3.1</v>
      </c>
    </row>
    <row r="25" spans="1:17" x14ac:dyDescent="0.15">
      <c r="A25" s="30">
        <v>-17</v>
      </c>
      <c r="B25" s="1" t="s">
        <v>96</v>
      </c>
      <c r="C25" s="15">
        <v>1.1000000000000001</v>
      </c>
      <c r="D25" s="15">
        <v>6.8</v>
      </c>
      <c r="E25" s="15">
        <v>8.9</v>
      </c>
      <c r="F25" s="15">
        <v>10.6</v>
      </c>
      <c r="G25" s="15">
        <v>10.4</v>
      </c>
      <c r="H25" s="15">
        <v>9.3000000000000007</v>
      </c>
      <c r="I25" s="15">
        <v>13.2</v>
      </c>
      <c r="J25" s="15">
        <v>14.4</v>
      </c>
      <c r="K25" s="15">
        <v>19.100000000000001</v>
      </c>
      <c r="L25" s="15">
        <v>19.100000000000001</v>
      </c>
      <c r="M25" s="15">
        <v>23.5</v>
      </c>
      <c r="N25" s="15">
        <v>20.100000000000001</v>
      </c>
      <c r="O25" s="15">
        <v>18.899999999999999</v>
      </c>
      <c r="P25" s="15">
        <v>16.899999999999999</v>
      </c>
      <c r="Q25" s="15">
        <v>14.5</v>
      </c>
    </row>
    <row r="26" spans="1:17" x14ac:dyDescent="0.15">
      <c r="A26" s="30">
        <v>-18</v>
      </c>
      <c r="B26" s="1" t="s">
        <v>97</v>
      </c>
      <c r="C26" s="15">
        <v>9.6999999999999993</v>
      </c>
      <c r="D26" s="15">
        <v>9.8000000000000007</v>
      </c>
      <c r="E26" s="15">
        <v>22.4</v>
      </c>
      <c r="F26" s="15">
        <v>38.9</v>
      </c>
      <c r="G26" s="15">
        <v>27.4</v>
      </c>
      <c r="H26" s="15">
        <v>6.8</v>
      </c>
      <c r="I26" s="15">
        <v>0.7</v>
      </c>
      <c r="J26" s="15">
        <v>1</v>
      </c>
      <c r="K26" s="15">
        <v>0.7</v>
      </c>
      <c r="L26" s="15">
        <v>3</v>
      </c>
      <c r="M26" s="15">
        <v>2.2999999999999998</v>
      </c>
      <c r="N26" s="15">
        <v>0</v>
      </c>
      <c r="O26" s="15">
        <v>0.1</v>
      </c>
      <c r="P26" s="15">
        <v>0</v>
      </c>
      <c r="Q26" s="15">
        <v>0</v>
      </c>
    </row>
    <row r="27" spans="1:17" x14ac:dyDescent="0.15">
      <c r="A27" s="30"/>
      <c r="B27" s="1"/>
    </row>
    <row r="28" spans="1:17" x14ac:dyDescent="0.15">
      <c r="A28" s="30">
        <v>-19</v>
      </c>
      <c r="B28" s="1" t="s">
        <v>98</v>
      </c>
      <c r="C28" s="19">
        <v>-8.6</v>
      </c>
      <c r="D28" s="19">
        <v>-2.9</v>
      </c>
      <c r="E28" s="19">
        <v>-13.5</v>
      </c>
      <c r="F28" s="19">
        <v>-28.4</v>
      </c>
      <c r="G28" s="19">
        <v>-17.100000000000001</v>
      </c>
      <c r="H28" s="15">
        <v>2.5</v>
      </c>
      <c r="I28" s="15">
        <v>12.5</v>
      </c>
      <c r="J28" s="15">
        <v>13.4</v>
      </c>
      <c r="K28" s="15">
        <v>18.5</v>
      </c>
      <c r="L28" s="15">
        <v>16.100000000000001</v>
      </c>
      <c r="M28" s="15">
        <v>21.2</v>
      </c>
      <c r="N28" s="15">
        <v>20.100000000000001</v>
      </c>
      <c r="O28" s="15">
        <v>18.8</v>
      </c>
      <c r="P28" s="15">
        <v>16.8</v>
      </c>
      <c r="Q28" s="15">
        <v>14.4</v>
      </c>
    </row>
    <row r="29" spans="1:17" x14ac:dyDescent="0.15">
      <c r="A29" s="30"/>
      <c r="B29" s="1"/>
    </row>
    <row r="30" spans="1:17" x14ac:dyDescent="0.15">
      <c r="A30" s="30">
        <v>-20</v>
      </c>
      <c r="B30" s="1" t="s">
        <v>99</v>
      </c>
      <c r="Q30" s="15">
        <v>72.3</v>
      </c>
    </row>
    <row r="31" spans="1:17" x14ac:dyDescent="0.15">
      <c r="A31" s="30"/>
      <c r="B31" s="1"/>
    </row>
    <row r="32" spans="1:17" x14ac:dyDescent="0.15">
      <c r="A32" s="30">
        <v>-21</v>
      </c>
      <c r="B32" s="1" t="s">
        <v>100</v>
      </c>
      <c r="C32" s="19">
        <v>-8.6</v>
      </c>
      <c r="D32" s="19">
        <v>-11.6</v>
      </c>
      <c r="E32" s="19">
        <v>-25.1</v>
      </c>
      <c r="F32" s="19">
        <v>-53.5</v>
      </c>
      <c r="G32" s="19">
        <v>-70.599999999999994</v>
      </c>
      <c r="H32" s="19">
        <v>-68.099999999999994</v>
      </c>
      <c r="I32" s="19">
        <v>-55.6</v>
      </c>
      <c r="J32" s="19">
        <v>-42.2</v>
      </c>
      <c r="K32" s="19">
        <v>-23.8</v>
      </c>
      <c r="L32" s="19">
        <v>-7.7</v>
      </c>
      <c r="M32" s="15">
        <v>13.5</v>
      </c>
      <c r="N32" s="15">
        <v>33.6</v>
      </c>
      <c r="O32" s="15">
        <v>52.4</v>
      </c>
      <c r="P32" s="15">
        <v>69.2</v>
      </c>
      <c r="Q32" s="15">
        <v>155.9</v>
      </c>
    </row>
    <row r="33" spans="1:19" x14ac:dyDescent="0.15">
      <c r="A33" s="4"/>
      <c r="B33" s="4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9" x14ac:dyDescent="0.15">
      <c r="A34" s="1"/>
      <c r="B34" s="1"/>
    </row>
    <row r="35" spans="1:19" x14ac:dyDescent="0.15">
      <c r="A35" s="54" t="s">
        <v>105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</row>
    <row r="38" spans="1:19" x14ac:dyDescent="0.15">
      <c r="B38" s="56" t="s">
        <v>151</v>
      </c>
      <c r="C38" s="55">
        <f>C22/C18</f>
        <v>0.25</v>
      </c>
      <c r="D38" s="55">
        <f t="shared" ref="D38:Q38" si="0">D22/D18</f>
        <v>0.36470588235294121</v>
      </c>
      <c r="E38" s="55">
        <f t="shared" si="0"/>
        <v>0.36697247706422015</v>
      </c>
      <c r="F38" s="55">
        <f t="shared" si="0"/>
        <v>0.39</v>
      </c>
      <c r="G38" s="55">
        <f t="shared" si="0"/>
        <v>0.38</v>
      </c>
      <c r="H38" s="55">
        <f t="shared" si="0"/>
        <v>0.41489361702127658</v>
      </c>
      <c r="I38" s="55">
        <f t="shared" si="0"/>
        <v>0.37333333333333329</v>
      </c>
      <c r="J38" s="55">
        <f t="shared" si="0"/>
        <v>0.375</v>
      </c>
      <c r="K38" s="55">
        <f t="shared" si="0"/>
        <v>0.34188034188034189</v>
      </c>
      <c r="L38" s="55">
        <f t="shared" si="0"/>
        <v>0.36178861788617883</v>
      </c>
      <c r="M38" s="55">
        <f t="shared" si="0"/>
        <v>0.35369774919614144</v>
      </c>
      <c r="N38" s="55">
        <f t="shared" si="0"/>
        <v>0.35877862595419852</v>
      </c>
      <c r="O38" s="55">
        <f t="shared" si="0"/>
        <v>0.35918367346938779</v>
      </c>
      <c r="P38" s="55">
        <f t="shared" si="0"/>
        <v>0.36574074074074076</v>
      </c>
      <c r="Q38" s="55">
        <f t="shared" si="0"/>
        <v>0.37569060773480661</v>
      </c>
      <c r="S38" s="13"/>
    </row>
  </sheetData>
  <mergeCells count="2">
    <mergeCell ref="A1:Q1"/>
    <mergeCell ref="A35:Q35"/>
  </mergeCells>
  <phoneticPr fontId="2" type="noConversion"/>
  <pageMargins left="0.75" right="0.75" top="1" bottom="1" header="0.5" footer="0.5"/>
  <pageSetup paperSize="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AEA4-7699-604E-B817-741DF5AE69D3}">
  <dimension ref="A1:Q35"/>
  <sheetViews>
    <sheetView workbookViewId="0">
      <selection activeCell="T32" sqref="T32"/>
    </sheetView>
  </sheetViews>
  <sheetFormatPr baseColWidth="10" defaultRowHeight="13" x14ac:dyDescent="0.15"/>
  <cols>
    <col min="1" max="1" width="4.6640625" customWidth="1"/>
    <col min="2" max="2" width="28.33203125" customWidth="1"/>
    <col min="3" max="3" width="6.6640625" customWidth="1"/>
    <col min="4" max="17" width="6.33203125" customWidth="1"/>
    <col min="18" max="256" width="8.83203125" customWidth="1"/>
  </cols>
  <sheetData>
    <row r="1" spans="1:17" x14ac:dyDescent="0.15">
      <c r="A1" s="48" t="s">
        <v>115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x14ac:dyDescent="0.15">
      <c r="A2" s="1"/>
      <c r="B2" s="1"/>
    </row>
    <row r="3" spans="1:17" x14ac:dyDescent="0.15">
      <c r="A3" s="11"/>
      <c r="B3" s="11" t="s">
        <v>112</v>
      </c>
      <c r="C3" s="3" t="s">
        <v>104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</row>
    <row r="4" spans="1:17" x14ac:dyDescent="0.15">
      <c r="A4" s="1"/>
      <c r="B4" s="1"/>
    </row>
    <row r="5" spans="1:17" x14ac:dyDescent="0.15">
      <c r="A5" s="1"/>
      <c r="B5" s="2" t="s">
        <v>80</v>
      </c>
    </row>
    <row r="6" spans="1:17" x14ac:dyDescent="0.15">
      <c r="A6" s="30">
        <v>-1</v>
      </c>
      <c r="B6" s="1" t="s">
        <v>113</v>
      </c>
      <c r="C6" s="15">
        <v>10</v>
      </c>
      <c r="D6" s="15">
        <v>9.8000000000000007</v>
      </c>
      <c r="E6" s="15">
        <v>8.9</v>
      </c>
      <c r="F6" s="15">
        <v>8.1</v>
      </c>
      <c r="G6" s="15">
        <v>7.1</v>
      </c>
      <c r="H6" s="15">
        <v>6.5</v>
      </c>
      <c r="I6" s="15">
        <v>6.5</v>
      </c>
      <c r="J6" s="15">
        <v>6.6</v>
      </c>
      <c r="K6" s="15">
        <v>6.4</v>
      </c>
      <c r="L6" s="15">
        <v>5.8</v>
      </c>
      <c r="M6" s="15">
        <v>5.2</v>
      </c>
      <c r="N6" s="15">
        <v>4.5999999999999996</v>
      </c>
      <c r="O6" s="15">
        <v>4.3</v>
      </c>
      <c r="P6" s="15">
        <v>3.8</v>
      </c>
      <c r="Q6" s="15">
        <v>3.4</v>
      </c>
    </row>
    <row r="7" spans="1:17" x14ac:dyDescent="0.15">
      <c r="A7" s="30">
        <v>-2</v>
      </c>
      <c r="B7" s="1" t="s">
        <v>114</v>
      </c>
      <c r="C7" s="15">
        <v>50.2</v>
      </c>
      <c r="D7" s="15">
        <v>49.5</v>
      </c>
      <c r="E7" s="15">
        <v>43.7</v>
      </c>
      <c r="F7" s="15">
        <v>37.5</v>
      </c>
      <c r="G7" s="15">
        <v>31.8</v>
      </c>
      <c r="H7" s="15">
        <v>28.1</v>
      </c>
      <c r="I7" s="15">
        <v>26.2</v>
      </c>
      <c r="J7" s="15">
        <v>24.4</v>
      </c>
      <c r="K7" s="15">
        <v>21.6</v>
      </c>
      <c r="L7" s="15">
        <v>18.3</v>
      </c>
      <c r="M7" s="15">
        <v>15.9</v>
      </c>
      <c r="N7" s="15">
        <v>13.1</v>
      </c>
      <c r="O7" s="15">
        <v>11.8</v>
      </c>
      <c r="P7" s="15">
        <v>10.199999999999999</v>
      </c>
      <c r="Q7" s="15">
        <v>9.3000000000000007</v>
      </c>
    </row>
    <row r="8" spans="1:17" x14ac:dyDescent="0.15">
      <c r="A8" s="30"/>
      <c r="B8" s="1"/>
    </row>
    <row r="9" spans="1:17" x14ac:dyDescent="0.15">
      <c r="A9" s="30"/>
      <c r="B9" s="2" t="s">
        <v>82</v>
      </c>
    </row>
    <row r="10" spans="1:17" x14ac:dyDescent="0.15">
      <c r="A10" s="30">
        <v>-3</v>
      </c>
      <c r="B10" s="1" t="s">
        <v>83</v>
      </c>
      <c r="C10" s="15">
        <v>203.9</v>
      </c>
      <c r="D10" s="15">
        <v>210.9</v>
      </c>
      <c r="E10" s="15">
        <v>202.3</v>
      </c>
      <c r="F10" s="15">
        <v>190.3</v>
      </c>
      <c r="G10" s="15">
        <v>183</v>
      </c>
      <c r="H10" s="15">
        <v>176.1</v>
      </c>
      <c r="I10" s="15">
        <v>184.5</v>
      </c>
      <c r="J10" s="15">
        <v>194.4</v>
      </c>
      <c r="K10" s="15">
        <v>197.5</v>
      </c>
      <c r="L10" s="15">
        <v>190.2</v>
      </c>
      <c r="M10" s="15">
        <v>182.7</v>
      </c>
      <c r="N10" s="15">
        <v>173.2</v>
      </c>
      <c r="O10" s="15">
        <v>167.7</v>
      </c>
      <c r="P10" s="15">
        <v>161.69999999999999</v>
      </c>
      <c r="Q10" s="15">
        <v>151.30000000000001</v>
      </c>
    </row>
    <row r="11" spans="1:17" x14ac:dyDescent="0.15">
      <c r="A11" s="30">
        <v>-4</v>
      </c>
      <c r="B11" s="1" t="s">
        <v>84</v>
      </c>
      <c r="C11" s="15">
        <v>100.3</v>
      </c>
      <c r="D11" s="15">
        <v>106.3</v>
      </c>
      <c r="E11" s="15">
        <v>104.7</v>
      </c>
      <c r="F11" s="15">
        <v>97.9</v>
      </c>
      <c r="G11" s="15">
        <v>90.3</v>
      </c>
      <c r="H11" s="15">
        <v>85.4</v>
      </c>
      <c r="I11" s="15">
        <v>84</v>
      </c>
      <c r="J11" s="15">
        <v>80</v>
      </c>
      <c r="K11" s="15">
        <v>77.2</v>
      </c>
      <c r="L11" s="15">
        <v>73.400000000000006</v>
      </c>
      <c r="M11" s="15">
        <v>70</v>
      </c>
      <c r="N11" s="15">
        <v>62.8</v>
      </c>
      <c r="O11" s="15">
        <v>58.1</v>
      </c>
      <c r="P11" s="15">
        <v>56.1</v>
      </c>
      <c r="Q11" s="15">
        <v>53.5</v>
      </c>
    </row>
    <row r="12" spans="1:17" x14ac:dyDescent="0.15">
      <c r="A12" s="30">
        <v>-5</v>
      </c>
      <c r="B12" s="1" t="s">
        <v>14</v>
      </c>
      <c r="C12" s="15">
        <v>304.10000000000002</v>
      </c>
      <c r="D12" s="15">
        <v>317.2</v>
      </c>
      <c r="E12" s="15">
        <v>306.89999999999998</v>
      </c>
      <c r="F12" s="15">
        <v>288.3</v>
      </c>
      <c r="G12" s="15">
        <v>273.3</v>
      </c>
      <c r="H12" s="15">
        <v>261.5</v>
      </c>
      <c r="I12" s="15">
        <v>268.5</v>
      </c>
      <c r="J12" s="15">
        <v>274.39999999999998</v>
      </c>
      <c r="K12" s="15">
        <v>274.7</v>
      </c>
      <c r="L12" s="15">
        <v>263.60000000000002</v>
      </c>
      <c r="M12" s="15">
        <v>252.7</v>
      </c>
      <c r="N12" s="15">
        <v>236</v>
      </c>
      <c r="O12" s="15">
        <v>225.8</v>
      </c>
      <c r="P12" s="15">
        <v>217.8</v>
      </c>
      <c r="Q12" s="15">
        <v>204.8</v>
      </c>
    </row>
    <row r="13" spans="1:17" x14ac:dyDescent="0.15">
      <c r="A13" s="30"/>
      <c r="B13" s="1"/>
    </row>
    <row r="14" spans="1:17" x14ac:dyDescent="0.15">
      <c r="A14" s="30">
        <v>-6</v>
      </c>
      <c r="B14" s="1" t="s">
        <v>85</v>
      </c>
      <c r="C14" s="15">
        <v>27.5</v>
      </c>
      <c r="D14" s="15">
        <v>28.5</v>
      </c>
      <c r="E14" s="15">
        <v>27.3</v>
      </c>
      <c r="F14" s="15">
        <v>25.5</v>
      </c>
      <c r="G14" s="15">
        <v>24.1</v>
      </c>
      <c r="H14" s="15">
        <v>23</v>
      </c>
      <c r="I14" s="15">
        <v>24.1</v>
      </c>
      <c r="J14" s="15">
        <v>25</v>
      </c>
      <c r="K14" s="15">
        <v>25.4</v>
      </c>
      <c r="L14" s="15">
        <v>24.3</v>
      </c>
      <c r="M14" s="15">
        <v>22.5</v>
      </c>
      <c r="N14" s="15">
        <v>21.5</v>
      </c>
      <c r="O14" s="15">
        <v>20.399999999999999</v>
      </c>
      <c r="P14" s="15">
        <v>19.399999999999999</v>
      </c>
      <c r="Q14" s="15">
        <v>18.399999999999999</v>
      </c>
    </row>
    <row r="15" spans="1:17" x14ac:dyDescent="0.15">
      <c r="A15" s="30">
        <v>-7</v>
      </c>
      <c r="B15" s="1" t="s">
        <v>86</v>
      </c>
      <c r="C15" s="15">
        <v>81.7</v>
      </c>
      <c r="D15" s="15">
        <v>83.5</v>
      </c>
      <c r="E15" s="15">
        <v>84.1</v>
      </c>
      <c r="F15" s="15">
        <v>85.9</v>
      </c>
      <c r="G15" s="15">
        <v>89.7</v>
      </c>
      <c r="H15" s="15">
        <v>92.2</v>
      </c>
      <c r="I15" s="15">
        <v>93.7</v>
      </c>
      <c r="J15" s="15">
        <v>97</v>
      </c>
      <c r="K15" s="15">
        <v>93.3</v>
      </c>
      <c r="L15" s="15">
        <v>93.2</v>
      </c>
      <c r="M15" s="15">
        <v>82.6</v>
      </c>
      <c r="N15" s="15">
        <v>82</v>
      </c>
      <c r="O15" s="15">
        <v>82</v>
      </c>
      <c r="P15" s="15">
        <v>81.5</v>
      </c>
      <c r="Q15" s="15">
        <v>80.599999999999994</v>
      </c>
    </row>
    <row r="16" spans="1:17" x14ac:dyDescent="0.15">
      <c r="A16" s="30">
        <v>-8</v>
      </c>
      <c r="B16" s="1" t="s">
        <v>87</v>
      </c>
      <c r="C16" s="15">
        <v>36.6</v>
      </c>
      <c r="D16" s="15">
        <v>38.700000000000003</v>
      </c>
      <c r="E16" s="15">
        <v>36.299999999999997</v>
      </c>
      <c r="F16" s="15">
        <v>33.6</v>
      </c>
      <c r="G16" s="15">
        <v>31</v>
      </c>
      <c r="H16" s="15">
        <v>28.8</v>
      </c>
      <c r="I16" s="15">
        <v>29.2</v>
      </c>
      <c r="J16" s="15">
        <v>29.3</v>
      </c>
      <c r="K16" s="15">
        <v>27.9</v>
      </c>
      <c r="L16" s="15">
        <v>26.3</v>
      </c>
      <c r="M16" s="15">
        <v>23.2</v>
      </c>
      <c r="N16" s="15">
        <v>21.4</v>
      </c>
      <c r="O16" s="15">
        <v>20.100000000000001</v>
      </c>
      <c r="P16" s="15">
        <v>19.100000000000001</v>
      </c>
      <c r="Q16" s="15">
        <v>17.8</v>
      </c>
    </row>
    <row r="17" spans="1:17" x14ac:dyDescent="0.15">
      <c r="A17" s="30">
        <v>-9</v>
      </c>
      <c r="B17" s="1" t="s">
        <v>88</v>
      </c>
      <c r="C17" s="15">
        <v>71.400000000000006</v>
      </c>
      <c r="D17" s="15">
        <v>60</v>
      </c>
      <c r="E17" s="15">
        <v>49.6</v>
      </c>
      <c r="F17" s="15">
        <v>45.7</v>
      </c>
      <c r="G17" s="15">
        <v>37</v>
      </c>
      <c r="H17" s="15">
        <v>30.2</v>
      </c>
      <c r="I17" s="15">
        <v>31.6</v>
      </c>
      <c r="J17" s="15">
        <v>28.9</v>
      </c>
      <c r="K17" s="15">
        <v>23</v>
      </c>
      <c r="L17" s="15">
        <v>19.2</v>
      </c>
      <c r="M17" s="15">
        <v>18</v>
      </c>
      <c r="N17" s="15">
        <v>15.7</v>
      </c>
      <c r="O17" s="15">
        <v>13.8</v>
      </c>
      <c r="P17" s="15">
        <v>12.3</v>
      </c>
      <c r="Q17" s="15">
        <v>11</v>
      </c>
    </row>
    <row r="18" spans="1:17" x14ac:dyDescent="0.15">
      <c r="A18" s="30">
        <v>-10</v>
      </c>
      <c r="B18" s="1" t="s">
        <v>89</v>
      </c>
      <c r="C18" s="15">
        <v>86.8</v>
      </c>
      <c r="D18" s="15">
        <v>106.5</v>
      </c>
      <c r="E18" s="15">
        <v>109.7</v>
      </c>
      <c r="F18" s="15">
        <v>97.5</v>
      </c>
      <c r="G18" s="15">
        <v>91.5</v>
      </c>
      <c r="H18" s="15">
        <v>87.2</v>
      </c>
      <c r="I18" s="15">
        <v>90</v>
      </c>
      <c r="J18" s="15">
        <v>94.3</v>
      </c>
      <c r="K18" s="15">
        <v>105</v>
      </c>
      <c r="L18" s="15">
        <v>100.7</v>
      </c>
      <c r="M18" s="15">
        <v>106.5</v>
      </c>
      <c r="N18" s="15">
        <v>95.5</v>
      </c>
      <c r="O18" s="15">
        <v>89.5</v>
      </c>
      <c r="P18" s="15">
        <v>85.4</v>
      </c>
      <c r="Q18" s="15">
        <v>77</v>
      </c>
    </row>
    <row r="19" spans="1:17" x14ac:dyDescent="0.15">
      <c r="A19" s="30">
        <v>-11</v>
      </c>
      <c r="B19" s="1" t="s">
        <v>90</v>
      </c>
    </row>
    <row r="20" spans="1:17" x14ac:dyDescent="0.15">
      <c r="A20" s="30">
        <v>-12</v>
      </c>
      <c r="B20" s="36" t="s">
        <v>91</v>
      </c>
      <c r="C20" s="15">
        <v>54.2</v>
      </c>
      <c r="D20" s="15">
        <v>57.6</v>
      </c>
      <c r="E20" s="15">
        <v>55.3</v>
      </c>
      <c r="F20" s="15">
        <v>48.3</v>
      </c>
      <c r="G20" s="15">
        <v>41.2</v>
      </c>
      <c r="H20" s="15">
        <v>37.4</v>
      </c>
      <c r="I20" s="15">
        <v>39.5</v>
      </c>
      <c r="J20" s="15">
        <v>39.9</v>
      </c>
      <c r="K20" s="15">
        <v>40.700000000000003</v>
      </c>
      <c r="L20" s="15">
        <v>39.4</v>
      </c>
      <c r="M20" s="15">
        <v>40.9</v>
      </c>
      <c r="N20" s="15">
        <v>36.799999999999997</v>
      </c>
      <c r="O20" s="15">
        <v>34.200000000000003</v>
      </c>
      <c r="P20" s="15">
        <v>32.799999999999997</v>
      </c>
      <c r="Q20" s="15">
        <v>29.8</v>
      </c>
    </row>
    <row r="21" spans="1:17" x14ac:dyDescent="0.15">
      <c r="A21" s="30">
        <v>-13</v>
      </c>
      <c r="B21" s="36" t="s">
        <v>92</v>
      </c>
      <c r="C21" s="19">
        <v>-23.8</v>
      </c>
      <c r="D21" s="19">
        <v>-19.399999999999999</v>
      </c>
      <c r="E21" s="19">
        <v>-15.8</v>
      </c>
      <c r="F21" s="19">
        <v>-13.2</v>
      </c>
      <c r="G21" s="19">
        <v>-9.3000000000000007</v>
      </c>
      <c r="H21" s="19">
        <v>-7</v>
      </c>
      <c r="I21" s="19">
        <v>-7.9</v>
      </c>
      <c r="J21" s="19">
        <v>-7.1</v>
      </c>
      <c r="K21" s="19">
        <v>-4.9000000000000004</v>
      </c>
      <c r="L21" s="19">
        <v>-4.0999999999999996</v>
      </c>
      <c r="M21" s="19">
        <v>-3.7</v>
      </c>
      <c r="N21" s="19">
        <v>-3.2</v>
      </c>
      <c r="O21" s="19">
        <v>-2.6</v>
      </c>
      <c r="P21" s="19">
        <v>-2</v>
      </c>
      <c r="Q21" s="19">
        <v>-1.8</v>
      </c>
    </row>
    <row r="22" spans="1:17" x14ac:dyDescent="0.15">
      <c r="A22" s="30">
        <v>-14</v>
      </c>
      <c r="B22" s="1" t="s">
        <v>93</v>
      </c>
      <c r="C22" s="15">
        <v>30.4</v>
      </c>
      <c r="D22" s="15">
        <v>38.200000000000003</v>
      </c>
      <c r="E22" s="15">
        <v>39.5</v>
      </c>
      <c r="F22" s="15">
        <v>35</v>
      </c>
      <c r="G22" s="15">
        <v>31.9</v>
      </c>
      <c r="H22" s="15">
        <v>30.5</v>
      </c>
      <c r="I22" s="15">
        <v>31.6</v>
      </c>
      <c r="J22" s="15">
        <v>32.799999999999997</v>
      </c>
      <c r="K22" s="15">
        <v>35.799999999999997</v>
      </c>
      <c r="L22" s="15">
        <v>35.299999999999997</v>
      </c>
      <c r="M22" s="15">
        <v>37.200000000000003</v>
      </c>
      <c r="N22" s="15">
        <v>33.6</v>
      </c>
      <c r="O22" s="15">
        <v>31.6</v>
      </c>
      <c r="P22" s="15">
        <v>30.8</v>
      </c>
      <c r="Q22" s="15">
        <v>28.1</v>
      </c>
    </row>
    <row r="23" spans="1:17" x14ac:dyDescent="0.15">
      <c r="A23" s="30">
        <v>-15</v>
      </c>
      <c r="B23" s="1" t="s">
        <v>94</v>
      </c>
      <c r="C23" s="15">
        <v>56.4</v>
      </c>
      <c r="D23" s="15">
        <v>68.3</v>
      </c>
      <c r="E23" s="15">
        <v>70.3</v>
      </c>
      <c r="F23" s="15">
        <v>62.5</v>
      </c>
      <c r="G23" s="15">
        <v>59.6</v>
      </c>
      <c r="H23" s="15">
        <v>56.8</v>
      </c>
      <c r="I23" s="15">
        <v>58.4</v>
      </c>
      <c r="J23" s="15">
        <v>61.5</v>
      </c>
      <c r="K23" s="15">
        <v>69.2</v>
      </c>
      <c r="L23" s="15">
        <v>65.3</v>
      </c>
      <c r="M23" s="15">
        <v>69.2</v>
      </c>
      <c r="N23" s="15">
        <v>61.9</v>
      </c>
      <c r="O23" s="15">
        <v>57.9</v>
      </c>
      <c r="P23" s="15">
        <v>54.5</v>
      </c>
      <c r="Q23" s="15">
        <v>48.9</v>
      </c>
    </row>
    <row r="24" spans="1:17" x14ac:dyDescent="0.15">
      <c r="A24" s="30">
        <v>-16</v>
      </c>
      <c r="B24" s="1" t="s">
        <v>95</v>
      </c>
      <c r="C24" s="15">
        <v>47.6</v>
      </c>
      <c r="D24" s="15">
        <v>40.6</v>
      </c>
      <c r="E24" s="15">
        <v>33.799999999999997</v>
      </c>
      <c r="F24" s="15">
        <v>32.4</v>
      </c>
      <c r="G24" s="15">
        <v>27.7</v>
      </c>
      <c r="H24" s="15">
        <v>23.3</v>
      </c>
      <c r="I24" s="15">
        <v>23.6</v>
      </c>
      <c r="J24" s="15">
        <v>21.8</v>
      </c>
      <c r="K24" s="15">
        <v>18.100000000000001</v>
      </c>
      <c r="L24" s="15">
        <v>15.1</v>
      </c>
      <c r="M24" s="15">
        <v>14.3</v>
      </c>
      <c r="N24" s="15">
        <v>12.5</v>
      </c>
      <c r="O24" s="15">
        <v>11.3</v>
      </c>
      <c r="P24" s="15">
        <v>10.4</v>
      </c>
      <c r="Q24" s="15">
        <v>9.3000000000000007</v>
      </c>
    </row>
    <row r="25" spans="1:17" x14ac:dyDescent="0.15">
      <c r="A25" s="30">
        <v>-17</v>
      </c>
      <c r="B25" s="1" t="s">
        <v>96</v>
      </c>
      <c r="C25" s="15">
        <v>104</v>
      </c>
      <c r="D25" s="15">
        <v>108.9</v>
      </c>
      <c r="E25" s="15">
        <v>104</v>
      </c>
      <c r="F25" s="15">
        <v>95</v>
      </c>
      <c r="G25" s="15">
        <v>87.3</v>
      </c>
      <c r="H25" s="15">
        <v>80</v>
      </c>
      <c r="I25" s="15">
        <v>82.1</v>
      </c>
      <c r="J25" s="15">
        <v>83.3</v>
      </c>
      <c r="K25" s="15">
        <v>87.3</v>
      </c>
      <c r="L25" s="15">
        <v>80.400000000000006</v>
      </c>
      <c r="M25" s="15">
        <v>83.5</v>
      </c>
      <c r="N25" s="15">
        <v>74.400000000000006</v>
      </c>
      <c r="O25" s="15">
        <v>69.099999999999994</v>
      </c>
      <c r="P25" s="15">
        <v>64.900000000000006</v>
      </c>
      <c r="Q25" s="15">
        <v>58.2</v>
      </c>
    </row>
    <row r="26" spans="1:17" x14ac:dyDescent="0.15">
      <c r="A26" s="30">
        <v>-18</v>
      </c>
      <c r="B26" s="1" t="s">
        <v>97</v>
      </c>
      <c r="C26" s="15">
        <v>42.6</v>
      </c>
      <c r="D26" s="15">
        <v>33.799999999999997</v>
      </c>
      <c r="E26" s="15">
        <v>41.8</v>
      </c>
      <c r="F26" s="15">
        <v>57.5</v>
      </c>
      <c r="G26" s="15">
        <v>34.1</v>
      </c>
      <c r="H26" s="15">
        <v>9.4</v>
      </c>
      <c r="I26" s="15">
        <v>1.9</v>
      </c>
      <c r="J26" s="15">
        <v>2.6</v>
      </c>
      <c r="K26" s="15">
        <v>2</v>
      </c>
      <c r="L26" s="15">
        <v>3.9</v>
      </c>
      <c r="M26" s="15">
        <v>11</v>
      </c>
      <c r="N26" s="15">
        <v>0</v>
      </c>
      <c r="O26" s="15">
        <v>0.6</v>
      </c>
      <c r="P26" s="15">
        <v>1.1000000000000001</v>
      </c>
      <c r="Q26" s="15">
        <v>0.2</v>
      </c>
    </row>
    <row r="27" spans="1:17" x14ac:dyDescent="0.15">
      <c r="A27" s="30"/>
      <c r="B27" s="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x14ac:dyDescent="0.15">
      <c r="A28" s="30">
        <v>-19</v>
      </c>
      <c r="B28" s="1" t="s">
        <v>98</v>
      </c>
      <c r="C28" s="15">
        <v>61.4</v>
      </c>
      <c r="D28" s="15">
        <v>75.099999999999994</v>
      </c>
      <c r="E28" s="15">
        <v>62.2</v>
      </c>
      <c r="F28" s="15">
        <v>37.4</v>
      </c>
      <c r="G28" s="15">
        <v>53.2</v>
      </c>
      <c r="H28" s="15">
        <v>70.7</v>
      </c>
      <c r="I28" s="15">
        <v>80.2</v>
      </c>
      <c r="J28" s="15">
        <v>80.7</v>
      </c>
      <c r="K28" s="15">
        <v>85.3</v>
      </c>
      <c r="L28" s="15">
        <v>76.5</v>
      </c>
      <c r="M28" s="15">
        <v>72.5</v>
      </c>
      <c r="N28" s="15">
        <v>74.3</v>
      </c>
      <c r="O28" s="15">
        <v>68.5</v>
      </c>
      <c r="P28" s="15">
        <v>63.8</v>
      </c>
      <c r="Q28" s="15">
        <v>58</v>
      </c>
    </row>
    <row r="29" spans="1:17" x14ac:dyDescent="0.15">
      <c r="A29" s="30"/>
      <c r="B29" s="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15">
      <c r="A30" s="30">
        <v>-20</v>
      </c>
      <c r="B30" s="1" t="s">
        <v>99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>
        <v>283.10000000000002</v>
      </c>
    </row>
    <row r="31" spans="1:17" x14ac:dyDescent="0.15">
      <c r="A31" s="30"/>
      <c r="B31" s="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15">
      <c r="A32" s="30">
        <v>-21</v>
      </c>
      <c r="B32" s="1" t="s">
        <v>100</v>
      </c>
      <c r="C32" s="15">
        <v>61.4</v>
      </c>
      <c r="D32" s="15">
        <v>136.5</v>
      </c>
      <c r="E32" s="15">
        <v>198.8</v>
      </c>
      <c r="F32" s="15">
        <v>236.2</v>
      </c>
      <c r="G32" s="15">
        <v>289.3</v>
      </c>
      <c r="H32" s="15">
        <v>360</v>
      </c>
      <c r="I32" s="15">
        <v>440.2</v>
      </c>
      <c r="J32" s="15">
        <v>520.9</v>
      </c>
      <c r="K32" s="15">
        <v>606.20000000000005</v>
      </c>
      <c r="L32" s="15">
        <v>682.7</v>
      </c>
      <c r="M32" s="15">
        <v>755.2</v>
      </c>
      <c r="N32" s="15">
        <v>829.5</v>
      </c>
      <c r="O32" s="15">
        <v>898</v>
      </c>
      <c r="P32" s="15">
        <v>961.8</v>
      </c>
      <c r="Q32" s="15">
        <v>1302.9000000000001</v>
      </c>
    </row>
    <row r="33" spans="1:17" x14ac:dyDescent="0.15">
      <c r="A33" s="4"/>
      <c r="B33" s="4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7" x14ac:dyDescent="0.15">
      <c r="A34" s="1"/>
      <c r="B34" s="1"/>
    </row>
    <row r="35" spans="1:17" x14ac:dyDescent="0.15">
      <c r="A35" s="54" t="s">
        <v>105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</row>
  </sheetData>
  <mergeCells count="2">
    <mergeCell ref="A1:Q1"/>
    <mergeCell ref="A35:Q35"/>
  </mergeCells>
  <phoneticPr fontId="2" type="noConversion"/>
  <pageMargins left="0.75" right="0.75" top="1" bottom="1" header="0.5" footer="0.5"/>
  <pageSetup paperSize="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9008-2699-3E48-8C40-7B76B18BD3E1}">
  <dimension ref="A1:D28"/>
  <sheetViews>
    <sheetView workbookViewId="0">
      <selection sqref="A1:C1"/>
    </sheetView>
  </sheetViews>
  <sheetFormatPr baseColWidth="10" defaultRowHeight="13" x14ac:dyDescent="0.15"/>
  <cols>
    <col min="1" max="1" width="18.33203125" customWidth="1"/>
    <col min="2" max="2" width="23.33203125" customWidth="1"/>
    <col min="3" max="3" width="14" customWidth="1"/>
    <col min="4" max="4" width="15.6640625" customWidth="1"/>
    <col min="5" max="256" width="8.83203125" customWidth="1"/>
  </cols>
  <sheetData>
    <row r="1" spans="1:4" x14ac:dyDescent="0.15">
      <c r="A1" s="50" t="s">
        <v>130</v>
      </c>
      <c r="B1" s="50"/>
      <c r="C1" s="50"/>
    </row>
    <row r="2" spans="1:4" x14ac:dyDescent="0.15">
      <c r="A2" s="10"/>
      <c r="B2" s="10"/>
    </row>
    <row r="3" spans="1:4" ht="18" customHeight="1" x14ac:dyDescent="0.15">
      <c r="A3" s="50" t="s">
        <v>131</v>
      </c>
      <c r="B3" s="50"/>
    </row>
    <row r="4" spans="1:4" x14ac:dyDescent="0.15">
      <c r="A4" s="1"/>
      <c r="B4" s="1"/>
    </row>
    <row r="5" spans="1:4" x14ac:dyDescent="0.15">
      <c r="A5" s="11" t="s">
        <v>116</v>
      </c>
      <c r="B5" s="11" t="s">
        <v>117</v>
      </c>
    </row>
    <row r="6" spans="1:4" x14ac:dyDescent="0.15">
      <c r="A6" s="1"/>
      <c r="B6" s="1"/>
    </row>
    <row r="7" spans="1:4" x14ac:dyDescent="0.15">
      <c r="A7" s="1" t="s">
        <v>118</v>
      </c>
      <c r="B7" s="38">
        <v>6.5199999999999994E-2</v>
      </c>
    </row>
    <row r="8" spans="1:4" x14ac:dyDescent="0.15">
      <c r="A8" s="1" t="s">
        <v>119</v>
      </c>
      <c r="B8" s="38">
        <v>8.0299999999999996E-2</v>
      </c>
    </row>
    <row r="9" spans="1:4" x14ac:dyDescent="0.15">
      <c r="A9" s="1" t="s">
        <v>120</v>
      </c>
      <c r="B9" s="38">
        <v>8.2400000000000001E-2</v>
      </c>
    </row>
    <row r="10" spans="1:4" x14ac:dyDescent="0.15">
      <c r="A10" s="4"/>
      <c r="B10" s="4"/>
    </row>
    <row r="11" spans="1:4" x14ac:dyDescent="0.15">
      <c r="A11" s="1"/>
      <c r="B11" s="1"/>
    </row>
    <row r="12" spans="1:4" x14ac:dyDescent="0.15">
      <c r="A12" s="54" t="s">
        <v>121</v>
      </c>
      <c r="B12" s="54"/>
    </row>
    <row r="15" spans="1:4" x14ac:dyDescent="0.15">
      <c r="A15" s="48" t="s">
        <v>122</v>
      </c>
      <c r="B15" s="48"/>
      <c r="C15" s="48"/>
      <c r="D15" s="48"/>
    </row>
    <row r="17" spans="1:4" x14ac:dyDescent="0.15">
      <c r="A17" s="11" t="s">
        <v>123</v>
      </c>
      <c r="B17" s="39">
        <v>33208</v>
      </c>
      <c r="C17" s="39">
        <v>33239</v>
      </c>
      <c r="D17" s="39">
        <v>33270</v>
      </c>
    </row>
    <row r="18" spans="1:4" x14ac:dyDescent="0.15">
      <c r="B18" s="18"/>
      <c r="C18" s="18"/>
      <c r="D18" s="18"/>
    </row>
    <row r="19" spans="1:4" x14ac:dyDescent="0.15">
      <c r="B19" s="18"/>
      <c r="C19" s="18"/>
      <c r="D19" s="18"/>
    </row>
    <row r="20" spans="1:4" x14ac:dyDescent="0.15">
      <c r="A20" s="1" t="s">
        <v>124</v>
      </c>
      <c r="B20" s="40">
        <v>9.0800000000000006E-2</v>
      </c>
      <c r="C20" s="40">
        <v>8.9499999999999996E-2</v>
      </c>
      <c r="D20" s="40">
        <v>8.7999999999999995E-2</v>
      </c>
    </row>
    <row r="21" spans="1:4" x14ac:dyDescent="0.15">
      <c r="A21" s="1" t="s">
        <v>125</v>
      </c>
      <c r="B21" s="40">
        <v>9.4500000000000001E-2</v>
      </c>
      <c r="C21" s="40">
        <v>9.4E-2</v>
      </c>
      <c r="D21" s="40">
        <v>9.0899999999999995E-2</v>
      </c>
    </row>
    <row r="22" spans="1:4" x14ac:dyDescent="0.15">
      <c r="A22" s="1" t="s">
        <v>126</v>
      </c>
      <c r="B22" s="40">
        <v>9.5399999999999999E-2</v>
      </c>
      <c r="C22" s="40">
        <v>9.5000000000000001E-2</v>
      </c>
      <c r="D22" s="40">
        <v>9.2899999999999996E-2</v>
      </c>
    </row>
    <row r="23" spans="1:4" x14ac:dyDescent="0.15">
      <c r="A23" s="1" t="s">
        <v>127</v>
      </c>
      <c r="B23" s="40">
        <v>0.11550000000000001</v>
      </c>
      <c r="C23" s="40">
        <v>0.1167</v>
      </c>
      <c r="D23" s="40">
        <v>0.1038</v>
      </c>
    </row>
    <row r="24" spans="1:4" x14ac:dyDescent="0.15">
      <c r="A24" s="1" t="s">
        <v>128</v>
      </c>
      <c r="B24" s="40">
        <v>0.1241</v>
      </c>
      <c r="C24" s="40">
        <v>0.12239999999999999</v>
      </c>
      <c r="D24" s="40">
        <v>0.123</v>
      </c>
    </row>
    <row r="25" spans="1:4" x14ac:dyDescent="0.15">
      <c r="A25" s="1" t="s">
        <v>129</v>
      </c>
      <c r="B25" s="40">
        <v>0.19020000000000001</v>
      </c>
      <c r="C25" s="40">
        <v>0.20200000000000001</v>
      </c>
      <c r="D25" s="40">
        <v>0.17369999999999999</v>
      </c>
    </row>
    <row r="26" spans="1:4" x14ac:dyDescent="0.15">
      <c r="A26" s="32"/>
      <c r="B26" s="32"/>
      <c r="C26" s="32"/>
      <c r="D26" s="32"/>
    </row>
    <row r="28" spans="1:4" x14ac:dyDescent="0.15">
      <c r="A28" s="54" t="s">
        <v>142</v>
      </c>
      <c r="B28" s="54"/>
      <c r="C28" s="54"/>
      <c r="D28" s="54"/>
    </row>
  </sheetData>
  <mergeCells count="5">
    <mergeCell ref="A1:C1"/>
    <mergeCell ref="A3:B3"/>
    <mergeCell ref="A15:D15"/>
    <mergeCell ref="A28:D28"/>
    <mergeCell ref="A12:B12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029-024E-E043-83C3-28F9D0CB8D12}">
  <dimension ref="A1:U48"/>
  <sheetViews>
    <sheetView zoomScale="80" zoomScaleNormal="80" workbookViewId="0">
      <selection activeCell="U13" sqref="U13"/>
    </sheetView>
  </sheetViews>
  <sheetFormatPr baseColWidth="10" defaultRowHeight="13" x14ac:dyDescent="0.15"/>
  <cols>
    <col min="1" max="1" width="29.1640625" customWidth="1"/>
    <col min="2" max="2" width="11.1640625" customWidth="1"/>
    <col min="20" max="20" width="14.5" bestFit="1" customWidth="1"/>
    <col min="21" max="21" width="7.83203125" bestFit="1" customWidth="1"/>
  </cols>
  <sheetData>
    <row r="1" spans="1:21" ht="14" x14ac:dyDescent="0.15">
      <c r="A1" s="66"/>
      <c r="B1" s="67">
        <v>1990</v>
      </c>
      <c r="C1" s="67">
        <v>1991</v>
      </c>
      <c r="D1" s="67">
        <v>1992</v>
      </c>
      <c r="E1" s="67">
        <v>1993</v>
      </c>
      <c r="F1" s="67">
        <v>1994</v>
      </c>
      <c r="G1" s="67">
        <v>1995</v>
      </c>
      <c r="H1" s="67">
        <v>1996</v>
      </c>
      <c r="I1" s="67">
        <v>1997</v>
      </c>
      <c r="J1" s="67">
        <v>1998</v>
      </c>
      <c r="K1" s="67">
        <v>1999</v>
      </c>
      <c r="L1" s="67">
        <v>2000</v>
      </c>
      <c r="M1" s="67">
        <v>2001</v>
      </c>
      <c r="N1" s="67">
        <v>2002</v>
      </c>
      <c r="O1" s="67">
        <v>2003</v>
      </c>
      <c r="P1" s="67">
        <v>2004</v>
      </c>
      <c r="Q1" s="67">
        <v>2005</v>
      </c>
      <c r="R1" s="66"/>
      <c r="S1" s="66"/>
      <c r="T1" s="66"/>
      <c r="U1" s="66"/>
    </row>
    <row r="2" spans="1:21" ht="15" x14ac:dyDescent="0.2">
      <c r="A2" s="60" t="s">
        <v>154</v>
      </c>
      <c r="B2" s="60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6"/>
      <c r="S2" s="66"/>
      <c r="T2" s="80" t="s">
        <v>150</v>
      </c>
      <c r="U2" s="80"/>
    </row>
    <row r="3" spans="1:21" ht="14" x14ac:dyDescent="0.15">
      <c r="A3" s="69" t="s">
        <v>153</v>
      </c>
      <c r="B3" s="69"/>
      <c r="C3" s="70">
        <f>'Exhibit 3'!C28</f>
        <v>89.4</v>
      </c>
      <c r="D3" s="70">
        <f>'Exhibit 3'!D28</f>
        <v>80</v>
      </c>
      <c r="E3" s="70">
        <f>'Exhibit 3'!E28</f>
        <v>69.599999999999994</v>
      </c>
      <c r="F3" s="70">
        <f>'Exhibit 3'!F28</f>
        <v>63</v>
      </c>
      <c r="G3" s="70">
        <f>'Exhibit 3'!G28</f>
        <v>56</v>
      </c>
      <c r="H3" s="70">
        <f>'Exhibit 3'!H28</f>
        <v>49.5</v>
      </c>
      <c r="I3" s="70">
        <f>'Exhibit 3'!I28</f>
        <v>44.9</v>
      </c>
      <c r="J3" s="70">
        <f>'Exhibit 3'!J28</f>
        <v>41.9</v>
      </c>
      <c r="K3" s="70">
        <f>'Exhibit 3'!K28</f>
        <v>37.6</v>
      </c>
      <c r="L3" s="70">
        <f>'Exhibit 3'!L28</f>
        <v>34.299999999999997</v>
      </c>
      <c r="M3" s="70">
        <f>'Exhibit 3'!M28</f>
        <v>34.200000000000003</v>
      </c>
      <c r="N3" s="70">
        <f>'Exhibit 3'!N28</f>
        <v>29.5</v>
      </c>
      <c r="O3" s="70">
        <f>'Exhibit 3'!O28</f>
        <v>26.1</v>
      </c>
      <c r="P3" s="70">
        <f>'Exhibit 3'!P28</f>
        <v>23.5</v>
      </c>
      <c r="Q3" s="70">
        <f>'Exhibit 3'!Q28</f>
        <v>22.1</v>
      </c>
      <c r="R3" s="66"/>
      <c r="S3" s="66"/>
      <c r="T3" s="81" t="s">
        <v>148</v>
      </c>
      <c r="U3" s="82">
        <f>'Exhibit 2'!F52</f>
        <v>0.82</v>
      </c>
    </row>
    <row r="4" spans="1:21" ht="14" x14ac:dyDescent="0.15">
      <c r="A4" s="71" t="s">
        <v>155</v>
      </c>
      <c r="B4" s="71"/>
      <c r="C4" s="70">
        <f>C3/(1+$U$6)^1</f>
        <v>78.297425118234372</v>
      </c>
      <c r="D4" s="70">
        <f>D3/(1+$U$6)^2</f>
        <v>61.363469915224229</v>
      </c>
      <c r="E4" s="70">
        <f>E3/(1+$U$6)^3</f>
        <v>46.756190949592813</v>
      </c>
      <c r="F4" s="70">
        <f>F3/(1+$U$6)^4</f>
        <v>37.066398862860567</v>
      </c>
      <c r="G4" s="70">
        <f>G3/(1+$U$6)^5</f>
        <v>28.856113242529783</v>
      </c>
      <c r="H4" s="70">
        <f>H3/(1+$U$6)^6</f>
        <v>22.339063719960095</v>
      </c>
      <c r="I4" s="70">
        <f>I3/(1+$U$6)^7</f>
        <v>17.746637172676284</v>
      </c>
      <c r="J4" s="70">
        <f>J3/(1+$U$6)^8</f>
        <v>14.504197793721874</v>
      </c>
      <c r="K4" s="70">
        <f>K3/(1+$U$6)^9</f>
        <v>11.399281982933251</v>
      </c>
      <c r="L4" s="70">
        <f>L3/(1+$U$6)^10</f>
        <v>9.1073857816561237</v>
      </c>
      <c r="M4" s="70">
        <f>M3/(1+$U$6)^11</f>
        <v>7.9530860365388865</v>
      </c>
      <c r="N4" s="70">
        <f>N3/(1+$U$6)^12</f>
        <v>6.0081608621940212</v>
      </c>
      <c r="O4" s="70">
        <f>O3/(1+$U$6)^13</f>
        <v>4.6555393803795964</v>
      </c>
      <c r="P4" s="70">
        <f>P3/(1+$U$6)^14</f>
        <v>3.67119388150727</v>
      </c>
      <c r="Q4" s="70">
        <f>Q3/(1+$U$6)^15</f>
        <v>3.0237208432117511</v>
      </c>
      <c r="R4" s="66"/>
      <c r="S4" s="66"/>
      <c r="T4" s="81" t="s">
        <v>146</v>
      </c>
      <c r="U4" s="83">
        <v>7.4999999999999997E-2</v>
      </c>
    </row>
    <row r="5" spans="1:21" ht="15" x14ac:dyDescent="0.2">
      <c r="A5" s="57" t="s">
        <v>152</v>
      </c>
      <c r="B5" s="57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70">
        <f>'Exhibit 3'!Q30</f>
        <v>92.1</v>
      </c>
      <c r="R5" s="66"/>
      <c r="S5" s="66"/>
      <c r="T5" s="81" t="s">
        <v>147</v>
      </c>
      <c r="U5" s="84">
        <f>'Exhibit 10'!B8</f>
        <v>8.0299999999999996E-2</v>
      </c>
    </row>
    <row r="6" spans="1:21" ht="14" x14ac:dyDescent="0.15">
      <c r="A6" s="72" t="s">
        <v>156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3">
        <f>Q5/(1+$U$6)^15</f>
        <v>12.601117179176573</v>
      </c>
      <c r="R6" s="66"/>
      <c r="S6" s="66"/>
      <c r="T6" s="81" t="s">
        <v>149</v>
      </c>
      <c r="U6" s="84">
        <f>U5+U4*U3</f>
        <v>0.14179999999999998</v>
      </c>
    </row>
    <row r="7" spans="1:21" ht="15" thickBot="1" x14ac:dyDescent="0.2">
      <c r="A7" s="74" t="s">
        <v>163</v>
      </c>
      <c r="B7" s="75">
        <f>SUM(C4:Q4,Q6)</f>
        <v>365.34898272239752</v>
      </c>
      <c r="C7" s="75">
        <f>(B7*(1+$U$6))-C3</f>
        <v>327.75546847243345</v>
      </c>
      <c r="D7" s="75">
        <f t="shared" ref="D7:Q7" si="0">(C7*(1+$U$6))-D3</f>
        <v>294.2311939018245</v>
      </c>
      <c r="E7" s="75">
        <f t="shared" si="0"/>
        <v>266.35317719710315</v>
      </c>
      <c r="F7" s="75">
        <f t="shared" si="0"/>
        <v>241.12205772365235</v>
      </c>
      <c r="G7" s="75">
        <f t="shared" si="0"/>
        <v>219.31316550886623</v>
      </c>
      <c r="H7" s="75">
        <f t="shared" si="0"/>
        <v>200.91177237802344</v>
      </c>
      <c r="I7" s="75">
        <f t="shared" si="0"/>
        <v>184.50106170122714</v>
      </c>
      <c r="J7" s="75">
        <f t="shared" si="0"/>
        <v>168.76331225046113</v>
      </c>
      <c r="K7" s="75">
        <f t="shared" si="0"/>
        <v>155.09394992757652</v>
      </c>
      <c r="L7" s="75">
        <f t="shared" si="0"/>
        <v>142.78627202730684</v>
      </c>
      <c r="M7" s="75">
        <f t="shared" si="0"/>
        <v>128.83336540077892</v>
      </c>
      <c r="N7" s="75">
        <f t="shared" si="0"/>
        <v>117.60193661460934</v>
      </c>
      <c r="O7" s="75">
        <f t="shared" si="0"/>
        <v>108.17789122656094</v>
      </c>
      <c r="P7" s="75">
        <f t="shared" si="0"/>
        <v>100.01751620248727</v>
      </c>
      <c r="Q7" s="75">
        <f t="shared" si="0"/>
        <v>92.099999999999966</v>
      </c>
      <c r="R7" s="66"/>
      <c r="S7" s="66"/>
      <c r="T7" s="81" t="s">
        <v>161</v>
      </c>
      <c r="U7" s="84">
        <v>0.12</v>
      </c>
    </row>
    <row r="8" spans="1:21" ht="15" customHeight="1" thickTop="1" thickBot="1" x14ac:dyDescent="0.25">
      <c r="A8" s="59" t="s">
        <v>160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3">
        <f>SUM(C4:Q4,Q6)</f>
        <v>365.34898272239752</v>
      </c>
      <c r="R8" s="66"/>
      <c r="S8" s="66"/>
      <c r="T8" s="81" t="s">
        <v>162</v>
      </c>
      <c r="U8" s="84">
        <v>0.5</v>
      </c>
    </row>
    <row r="9" spans="1:21" ht="13" customHeight="1" thickTop="1" x14ac:dyDescent="0.2">
      <c r="A9" s="64"/>
      <c r="B9" s="64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81" t="s">
        <v>151</v>
      </c>
      <c r="U9" s="84">
        <f>AVERAGE('Exhibit 3'!S38,'Exhibit 4'!S38)</f>
        <v>0.35696859496897304</v>
      </c>
    </row>
    <row r="10" spans="1:21" ht="15" x14ac:dyDescent="0.2">
      <c r="A10" s="58"/>
      <c r="B10" s="58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</row>
    <row r="11" spans="1:21" ht="15" x14ac:dyDescent="0.2">
      <c r="A11" s="60" t="s">
        <v>157</v>
      </c>
      <c r="B11" s="6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6"/>
      <c r="S11" s="66"/>
      <c r="T11" s="66"/>
      <c r="U11" s="66"/>
    </row>
    <row r="12" spans="1:21" ht="14" x14ac:dyDescent="0.15">
      <c r="A12" s="69" t="s">
        <v>153</v>
      </c>
      <c r="B12" s="69"/>
      <c r="C12" s="70">
        <f>'Exhibit 4'!C28</f>
        <v>-13.5</v>
      </c>
      <c r="D12" s="70">
        <f>'Exhibit 4'!D28</f>
        <v>-5.8</v>
      </c>
      <c r="E12" s="70">
        <f>'Exhibit 4'!E28</f>
        <v>7.6</v>
      </c>
      <c r="F12" s="70">
        <f>'Exhibit 4'!F28</f>
        <v>5.2</v>
      </c>
      <c r="G12" s="70">
        <f>'Exhibit 4'!G28</f>
        <v>4.5999999999999996</v>
      </c>
      <c r="H12" s="70">
        <f>'Exhibit 4'!H28</f>
        <v>6.7</v>
      </c>
      <c r="I12" s="70">
        <f>'Exhibit 4'!I28</f>
        <v>9.6999999999999993</v>
      </c>
      <c r="J12" s="70">
        <f>'Exhibit 4'!J28</f>
        <v>12.5</v>
      </c>
      <c r="K12" s="70">
        <f>'Exhibit 4'!K28</f>
        <v>16</v>
      </c>
      <c r="L12" s="70">
        <f>'Exhibit 4'!L28</f>
        <v>15.1</v>
      </c>
      <c r="M12" s="70">
        <f>'Exhibit 4'!M28</f>
        <v>6.8</v>
      </c>
      <c r="N12" s="70">
        <f>'Exhibit 4'!N28</f>
        <v>14.7</v>
      </c>
      <c r="O12" s="70">
        <f>'Exhibit 4'!O28</f>
        <v>15.2</v>
      </c>
      <c r="P12" s="70">
        <f>'Exhibit 4'!P28</f>
        <v>16.5</v>
      </c>
      <c r="Q12" s="70">
        <f>'Exhibit 4'!Q28</f>
        <v>15.1</v>
      </c>
      <c r="R12" s="66"/>
      <c r="S12" s="66"/>
      <c r="T12" s="66"/>
      <c r="U12" s="66"/>
    </row>
    <row r="13" spans="1:21" ht="14" x14ac:dyDescent="0.15">
      <c r="A13" s="71" t="s">
        <v>155</v>
      </c>
      <c r="B13" s="71"/>
      <c r="C13" s="70">
        <f>C12/(1+$U$6)^1</f>
        <v>-11.82343667892801</v>
      </c>
      <c r="D13" s="70">
        <f>D12/(1+$U$6)^2</f>
        <v>-4.4488515688537564</v>
      </c>
      <c r="E13" s="70">
        <f>E12/(1+$U$6)^3</f>
        <v>5.1055610807026639</v>
      </c>
      <c r="F13" s="70">
        <f>F12/(1+$U$6)^4</f>
        <v>3.0594487950297609</v>
      </c>
      <c r="G13" s="70">
        <f>G12/(1+$U$6)^5</f>
        <v>2.3703235877792319</v>
      </c>
      <c r="H13" s="70">
        <f>H12/(1+$U$6)^6</f>
        <v>3.0236712509844974</v>
      </c>
      <c r="I13" s="70">
        <f>I12/(1+$U$6)^7</f>
        <v>3.8339060261683731</v>
      </c>
      <c r="J13" s="70">
        <f>J12/(1+$U$6)^8</f>
        <v>4.3270279814206072</v>
      </c>
      <c r="K13" s="70">
        <f>K12/(1+$U$6)^9</f>
        <v>4.8507582906098943</v>
      </c>
      <c r="L13" s="70">
        <f>L12/(1+$U$6)^10</f>
        <v>4.0093739155395758</v>
      </c>
      <c r="M13" s="70">
        <f>M12/(1+$U$6)^11</f>
        <v>1.5813153522942813</v>
      </c>
      <c r="N13" s="70">
        <f>N12/(1+$U$6)^12</f>
        <v>2.9938971076017666</v>
      </c>
      <c r="O13" s="70">
        <f>O12/(1+$U$6)^13</f>
        <v>2.7112719763130215</v>
      </c>
      <c r="P13" s="70">
        <f>P12/(1+$U$6)^14</f>
        <v>2.5776467678668067</v>
      </c>
      <c r="Q13" s="70">
        <f>Q12/(1+$U$6)^15</f>
        <v>2.0659812096152685</v>
      </c>
      <c r="R13" s="66"/>
      <c r="S13" s="66"/>
      <c r="T13" s="66"/>
      <c r="U13" s="66"/>
    </row>
    <row r="14" spans="1:21" ht="15" x14ac:dyDescent="0.2">
      <c r="A14" s="57" t="s">
        <v>152</v>
      </c>
      <c r="B14" s="57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>
        <f>'Exhibit 4'!Q30</f>
        <v>67.8</v>
      </c>
      <c r="R14" s="66"/>
      <c r="S14" s="66"/>
      <c r="T14" s="66"/>
      <c r="U14" s="66"/>
    </row>
    <row r="15" spans="1:21" ht="14" x14ac:dyDescent="0.15">
      <c r="A15" s="72" t="s">
        <v>156</v>
      </c>
      <c r="B15" s="7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>
        <f>Q14/(1+$U$6)^15</f>
        <v>9.2763924511202127</v>
      </c>
      <c r="R15" s="66"/>
      <c r="S15" s="66"/>
      <c r="T15" s="66"/>
      <c r="U15" s="66"/>
    </row>
    <row r="16" spans="1:21" ht="15" thickBot="1" x14ac:dyDescent="0.2">
      <c r="A16" s="74" t="s">
        <v>163</v>
      </c>
      <c r="B16" s="75">
        <f>SUM(C13:Q13,Q15)</f>
        <v>35.514287545264196</v>
      </c>
      <c r="C16" s="75">
        <f>(B16*(1+$U$6))-C12</f>
        <v>54.050213519182655</v>
      </c>
      <c r="D16" s="75">
        <f t="shared" ref="D16:Q16" si="1">(C16*(1+$U$6))-D12</f>
        <v>67.514533796202755</v>
      </c>
      <c r="E16" s="75">
        <f t="shared" si="1"/>
        <v>69.488094688504304</v>
      </c>
      <c r="F16" s="75">
        <f t="shared" si="1"/>
        <v>74.1415065153342</v>
      </c>
      <c r="G16" s="75">
        <f t="shared" si="1"/>
        <v>80.054772139208595</v>
      </c>
      <c r="H16" s="75">
        <f t="shared" si="1"/>
        <v>84.706538828548361</v>
      </c>
      <c r="I16" s="75">
        <f t="shared" si="1"/>
        <v>87.017926034436513</v>
      </c>
      <c r="J16" s="75">
        <f t="shared" si="1"/>
        <v>86.857067946119599</v>
      </c>
      <c r="K16" s="75">
        <f t="shared" si="1"/>
        <v>83.173400180879355</v>
      </c>
      <c r="L16" s="75">
        <f t="shared" si="1"/>
        <v>79.867388326528044</v>
      </c>
      <c r="M16" s="75">
        <f t="shared" si="1"/>
        <v>84.392583991229714</v>
      </c>
      <c r="N16" s="75">
        <f t="shared" si="1"/>
        <v>81.659452401186073</v>
      </c>
      <c r="O16" s="75">
        <f t="shared" si="1"/>
        <v>78.038762751674255</v>
      </c>
      <c r="P16" s="75">
        <f t="shared" si="1"/>
        <v>72.60465930986166</v>
      </c>
      <c r="Q16" s="75">
        <f t="shared" si="1"/>
        <v>67.80000000000004</v>
      </c>
      <c r="R16" s="66"/>
      <c r="S16" s="66"/>
      <c r="T16" s="66"/>
      <c r="U16" s="66"/>
    </row>
    <row r="17" spans="1:21" ht="17" thickTop="1" thickBot="1" x14ac:dyDescent="0.25">
      <c r="A17" s="59" t="s">
        <v>160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3">
        <f>SUM(C13:Q13,Q15)</f>
        <v>35.514287545264196</v>
      </c>
      <c r="R17" s="66"/>
      <c r="S17" s="66"/>
      <c r="T17" s="66"/>
      <c r="U17" s="66"/>
    </row>
    <row r="18" spans="1:21" ht="15" thickTop="1" x14ac:dyDescent="0.15">
      <c r="A18" s="69"/>
      <c r="B18" s="69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</row>
    <row r="19" spans="1:21" ht="14" x14ac:dyDescent="0.15">
      <c r="A19" s="69"/>
      <c r="B19" s="69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</row>
    <row r="20" spans="1:21" ht="15" x14ac:dyDescent="0.2">
      <c r="A20" s="60" t="s">
        <v>164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6"/>
      <c r="S20" s="66"/>
      <c r="T20" s="66"/>
      <c r="U20" s="66"/>
    </row>
    <row r="21" spans="1:21" ht="14" x14ac:dyDescent="0.15">
      <c r="A21" s="69" t="s">
        <v>162</v>
      </c>
      <c r="B21" s="76">
        <f>$U$8*(B7+B16)</f>
        <v>200.43163513383087</v>
      </c>
      <c r="C21" s="76">
        <f>$U$8*(C7+C16)</f>
        <v>190.90284099580805</v>
      </c>
      <c r="D21" s="76">
        <f t="shared" ref="D21:Q21" si="2">$U$8*(D7+D16)</f>
        <v>180.87286384901364</v>
      </c>
      <c r="E21" s="76">
        <f t="shared" si="2"/>
        <v>167.92063594280373</v>
      </c>
      <c r="F21" s="76">
        <f t="shared" si="2"/>
        <v>157.63178211949327</v>
      </c>
      <c r="G21" s="76">
        <f t="shared" si="2"/>
        <v>149.68396882403741</v>
      </c>
      <c r="H21" s="76">
        <f t="shared" si="2"/>
        <v>142.80915560328589</v>
      </c>
      <c r="I21" s="76">
        <f t="shared" si="2"/>
        <v>135.75949386783182</v>
      </c>
      <c r="J21" s="76">
        <f t="shared" si="2"/>
        <v>127.81019009829036</v>
      </c>
      <c r="K21" s="76">
        <f t="shared" si="2"/>
        <v>119.13367505422794</v>
      </c>
      <c r="L21" s="76">
        <f t="shared" si="2"/>
        <v>111.32683017691744</v>
      </c>
      <c r="M21" s="76">
        <f t="shared" si="2"/>
        <v>106.61297469600431</v>
      </c>
      <c r="N21" s="76">
        <f t="shared" si="2"/>
        <v>99.630694507897715</v>
      </c>
      <c r="O21" s="76">
        <f t="shared" si="2"/>
        <v>93.1083269891176</v>
      </c>
      <c r="P21" s="76">
        <f t="shared" si="2"/>
        <v>86.311087756174459</v>
      </c>
      <c r="Q21" s="76">
        <f t="shared" si="2"/>
        <v>79.95</v>
      </c>
      <c r="R21" s="66"/>
      <c r="S21" s="66"/>
      <c r="T21" s="66"/>
      <c r="U21" s="66"/>
    </row>
    <row r="22" spans="1:21" ht="14" x14ac:dyDescent="0.15">
      <c r="A22" s="69" t="s">
        <v>165</v>
      </c>
      <c r="B22" s="76"/>
      <c r="C22" s="76">
        <f>C21*$U$7</f>
        <v>22.908340919496965</v>
      </c>
      <c r="D22" s="76">
        <f t="shared" ref="D22:Q22" si="3">D21*$U$7</f>
        <v>21.704743661881636</v>
      </c>
      <c r="E22" s="76">
        <f t="shared" si="3"/>
        <v>20.150476313136448</v>
      </c>
      <c r="F22" s="76">
        <f t="shared" si="3"/>
        <v>18.915813854339191</v>
      </c>
      <c r="G22" s="76">
        <f t="shared" si="3"/>
        <v>17.962076258884487</v>
      </c>
      <c r="H22" s="76">
        <f t="shared" si="3"/>
        <v>17.137098672394306</v>
      </c>
      <c r="I22" s="76">
        <f t="shared" si="3"/>
        <v>16.291139264139819</v>
      </c>
      <c r="J22" s="76">
        <f t="shared" si="3"/>
        <v>15.337222811794843</v>
      </c>
      <c r="K22" s="76">
        <f t="shared" si="3"/>
        <v>14.296041006507352</v>
      </c>
      <c r="L22" s="76">
        <f t="shared" si="3"/>
        <v>13.359219621230093</v>
      </c>
      <c r="M22" s="76">
        <f t="shared" si="3"/>
        <v>12.793556963520517</v>
      </c>
      <c r="N22" s="76">
        <f t="shared" si="3"/>
        <v>11.955683340947726</v>
      </c>
      <c r="O22" s="76">
        <f t="shared" si="3"/>
        <v>11.172999238694112</v>
      </c>
      <c r="P22" s="76">
        <f t="shared" si="3"/>
        <v>10.357330530740935</v>
      </c>
      <c r="Q22" s="76">
        <f t="shared" si="3"/>
        <v>9.5939999999999994</v>
      </c>
      <c r="R22" s="66"/>
      <c r="S22" s="66"/>
      <c r="T22" s="66"/>
      <c r="U22" s="66"/>
    </row>
    <row r="23" spans="1:21" ht="14" x14ac:dyDescent="0.15">
      <c r="A23" s="69" t="s">
        <v>166</v>
      </c>
      <c r="B23" s="76"/>
      <c r="C23" s="76">
        <f>C22*$U$9</f>
        <v>8.177558271103063</v>
      </c>
      <c r="D23" s="76">
        <f t="shared" ref="D23:Q23" si="4">D22*$U$9</f>
        <v>7.7479118491436108</v>
      </c>
      <c r="E23" s="76">
        <f t="shared" si="4"/>
        <v>7.19308721745589</v>
      </c>
      <c r="F23" s="76">
        <f t="shared" si="4"/>
        <v>6.7523514942780958</v>
      </c>
      <c r="G23" s="76">
        <f t="shared" si="4"/>
        <v>6.4118971248595429</v>
      </c>
      <c r="H23" s="76">
        <f t="shared" si="4"/>
        <v>6.1174060349292487</v>
      </c>
      <c r="I23" s="76">
        <f t="shared" si="4"/>
        <v>5.8154250935638601</v>
      </c>
      <c r="J23" s="76">
        <f t="shared" si="4"/>
        <v>5.4749068778524874</v>
      </c>
      <c r="K23" s="76">
        <f t="shared" si="4"/>
        <v>5.1032376717117529</v>
      </c>
      <c r="L23" s="76">
        <f t="shared" si="4"/>
        <v>4.7688218580724424</v>
      </c>
      <c r="M23" s="76">
        <f t="shared" si="4"/>
        <v>4.5668980539234401</v>
      </c>
      <c r="N23" s="76">
        <f t="shared" si="4"/>
        <v>4.2678034841120667</v>
      </c>
      <c r="O23" s="76">
        <f t="shared" si="4"/>
        <v>3.9884098398260428</v>
      </c>
      <c r="P23" s="76">
        <f t="shared" si="4"/>
        <v>3.6972417271878393</v>
      </c>
      <c r="Q23" s="76">
        <f t="shared" si="4"/>
        <v>3.4247567001323271</v>
      </c>
      <c r="R23" s="66"/>
      <c r="S23" s="66"/>
      <c r="T23" s="66"/>
      <c r="U23" s="66"/>
    </row>
    <row r="24" spans="1:21" ht="15" thickBot="1" x14ac:dyDescent="0.2">
      <c r="A24" s="74" t="s">
        <v>167</v>
      </c>
      <c r="B24" s="75"/>
      <c r="C24" s="75">
        <f>C23/(1+$U$7)^1</f>
        <v>7.3013913134848769</v>
      </c>
      <c r="D24" s="75">
        <f>D23/(1+$U$7)^2</f>
        <v>6.176587889942291</v>
      </c>
      <c r="E24" s="75">
        <f>E23/(1+$U$7)^3</f>
        <v>5.1198974021842316</v>
      </c>
      <c r="F24" s="75">
        <f>F23/(1+$U$7)^4</f>
        <v>4.2912414463576054</v>
      </c>
      <c r="G24" s="75">
        <f>G23/(1+$U$7)^5</f>
        <v>3.6382826247501772</v>
      </c>
      <c r="H24" s="75">
        <f>H23/(1+$U$7)^6</f>
        <v>3.0992682781731129</v>
      </c>
      <c r="I24" s="75">
        <f>I23/(1+$U$7)^7</f>
        <v>2.630602977924092</v>
      </c>
      <c r="J24" s="75">
        <f>J23/(1+$U$7)^8</f>
        <v>2.2112230627135121</v>
      </c>
      <c r="K24" s="75">
        <f>K23/(1+$U$7)^9</f>
        <v>1.8402786642829132</v>
      </c>
      <c r="L24" s="75">
        <f>L23/(1+$U$7)^10</f>
        <v>1.535433008368041</v>
      </c>
      <c r="M24" s="75">
        <f>M23/(1+$U$7)^11</f>
        <v>1.312874060358465</v>
      </c>
      <c r="N24" s="75">
        <f>N23/(1+$U$7)^12</f>
        <v>1.0954388559571198</v>
      </c>
      <c r="O24" s="75">
        <f>O23/(1+$U$7)^13</f>
        <v>0.91404059494790491</v>
      </c>
      <c r="P24" s="75">
        <f>P23/(1+$U$7)^14</f>
        <v>0.75652890941287387</v>
      </c>
      <c r="Q24" s="75">
        <f>Q23/(1+$U$7)^15</f>
        <v>0.62569024485369262</v>
      </c>
      <c r="R24" s="66"/>
      <c r="S24" s="66"/>
      <c r="T24" s="66"/>
      <c r="U24" s="66"/>
    </row>
    <row r="25" spans="1:21" ht="17" thickTop="1" thickBot="1" x14ac:dyDescent="0.25">
      <c r="A25" s="59" t="s">
        <v>160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3">
        <f>SUM(B24:Q24)</f>
        <v>42.548779333710911</v>
      </c>
      <c r="R25" s="66"/>
      <c r="S25" s="66"/>
      <c r="T25" s="66"/>
      <c r="U25" s="66"/>
    </row>
    <row r="26" spans="1:21" ht="15" thickTop="1" x14ac:dyDescent="0.15">
      <c r="A26" s="69"/>
      <c r="B26" s="69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</row>
    <row r="27" spans="1:21" ht="14" x14ac:dyDescent="0.15">
      <c r="A27" s="69"/>
      <c r="B27" s="69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</row>
    <row r="28" spans="1:21" ht="15" x14ac:dyDescent="0.2">
      <c r="A28" s="60" t="s">
        <v>158</v>
      </c>
      <c r="B28" s="60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6"/>
      <c r="S28" s="66"/>
      <c r="T28" s="66"/>
      <c r="U28" s="66"/>
    </row>
    <row r="29" spans="1:21" ht="14" x14ac:dyDescent="0.15">
      <c r="A29" s="69" t="s">
        <v>153</v>
      </c>
      <c r="B29" s="69"/>
      <c r="C29" s="70">
        <f>'Exhibit 5'!C28</f>
        <v>-5.8</v>
      </c>
      <c r="D29" s="70">
        <f>'Exhibit 5'!D28</f>
        <v>3.8</v>
      </c>
      <c r="E29" s="70">
        <f>'Exhibit 5'!E28</f>
        <v>-1.5</v>
      </c>
      <c r="F29" s="70">
        <f>'Exhibit 5'!F28</f>
        <v>-2.5</v>
      </c>
      <c r="G29" s="70">
        <f>'Exhibit 5'!G28</f>
        <v>9.6999999999999993</v>
      </c>
      <c r="H29" s="70">
        <f>'Exhibit 5'!H28</f>
        <v>11.9</v>
      </c>
      <c r="I29" s="70">
        <f>'Exhibit 5'!I28</f>
        <v>13.1</v>
      </c>
      <c r="J29" s="70">
        <f>'Exhibit 5'!J28</f>
        <v>13</v>
      </c>
      <c r="K29" s="70">
        <f>'Exhibit 5'!K28</f>
        <v>13.2</v>
      </c>
      <c r="L29" s="70">
        <f>'Exhibit 5'!L28</f>
        <v>11</v>
      </c>
      <c r="M29" s="70">
        <f>'Exhibit 5'!M28</f>
        <v>10.199999999999999</v>
      </c>
      <c r="N29" s="70">
        <f>'Exhibit 5'!N28</f>
        <v>10</v>
      </c>
      <c r="O29" s="70">
        <f>'Exhibit 5'!O28</f>
        <v>8.4</v>
      </c>
      <c r="P29" s="70">
        <f>'Exhibit 5'!P28</f>
        <v>7</v>
      </c>
      <c r="Q29" s="70">
        <f>'Exhibit 5'!Q28</f>
        <v>6.4</v>
      </c>
      <c r="R29" s="66"/>
      <c r="S29" s="66"/>
      <c r="T29" s="66"/>
      <c r="U29" s="66"/>
    </row>
    <row r="30" spans="1:21" ht="14" x14ac:dyDescent="0.15">
      <c r="A30" s="71" t="s">
        <v>155</v>
      </c>
      <c r="B30" s="71"/>
      <c r="C30" s="70">
        <f>C29/(1+$U$6)^1</f>
        <v>-5.0796987213172189</v>
      </c>
      <c r="D30" s="70">
        <f>D29/(1+$U$6)^2</f>
        <v>2.9147648209731507</v>
      </c>
      <c r="E30" s="70">
        <f>E29/(1+$U$6)^3</f>
        <v>-1.0076765290860521</v>
      </c>
      <c r="F30" s="70">
        <f>F29/(1+$U$6)^4</f>
        <v>-1.4708888437643082</v>
      </c>
      <c r="G30" s="70">
        <f>G29/(1+$U$6)^5</f>
        <v>4.9982910437953372</v>
      </c>
      <c r="H30" s="70">
        <f>H29/(1+$U$6)^6</f>
        <v>5.3704011771217193</v>
      </c>
      <c r="I30" s="70">
        <f>I29/(1+$U$6)^7</f>
        <v>5.1777493755469788</v>
      </c>
      <c r="J30" s="70">
        <f>J29/(1+$U$6)^8</f>
        <v>4.500109100677431</v>
      </c>
      <c r="K30" s="70">
        <f>K29/(1+$U$6)^9</f>
        <v>4.0018755897531628</v>
      </c>
      <c r="L30" s="70">
        <f>L29/(1+$U$6)^10</f>
        <v>2.9207359649626055</v>
      </c>
      <c r="M30" s="70">
        <f>M29/(1+$U$6)^11</f>
        <v>2.3719730284414218</v>
      </c>
      <c r="N30" s="70">
        <f>N29/(1+$U$6)^12</f>
        <v>2.0366646990488206</v>
      </c>
      <c r="O30" s="70">
        <f>O29/(1+$U$6)^13</f>
        <v>1.4983345132256172</v>
      </c>
      <c r="P30" s="70">
        <f>P29/(1+$U$6)^14</f>
        <v>1.0935471136404633</v>
      </c>
      <c r="Q30" s="70">
        <f>Q29/(1+$U$6)^15</f>
        <v>0.87564766500249813</v>
      </c>
      <c r="R30" s="66"/>
      <c r="S30" s="66"/>
      <c r="T30" s="66"/>
      <c r="U30" s="66"/>
    </row>
    <row r="31" spans="1:21" ht="15" x14ac:dyDescent="0.2">
      <c r="A31" s="57" t="s">
        <v>152</v>
      </c>
      <c r="B31" s="57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>
        <f>'Exhibit 5'!Q30</f>
        <v>51</v>
      </c>
      <c r="R31" s="66"/>
      <c r="S31" s="66"/>
      <c r="T31" s="66"/>
      <c r="U31" s="66"/>
    </row>
    <row r="32" spans="1:21" ht="15" thickBot="1" x14ac:dyDescent="0.2">
      <c r="A32" s="74" t="s">
        <v>156</v>
      </c>
      <c r="B32" s="74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>
        <f>Q31/(1+$U$6)^15</f>
        <v>6.9778173304886559</v>
      </c>
      <c r="R32" s="66"/>
      <c r="S32" s="66"/>
      <c r="T32" s="66"/>
      <c r="U32" s="66"/>
    </row>
    <row r="33" spans="1:21" ht="17" thickTop="1" thickBot="1" x14ac:dyDescent="0.25">
      <c r="A33" s="59" t="s">
        <v>160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3">
        <f>SUM(C30:Q30,Q32)</f>
        <v>37.179647328510278</v>
      </c>
      <c r="R33" s="66"/>
      <c r="S33" s="66"/>
      <c r="T33" s="66"/>
      <c r="U33" s="66"/>
    </row>
    <row r="34" spans="1:21" ht="16" thickTop="1" x14ac:dyDescent="0.2">
      <c r="A34" s="58"/>
      <c r="B34" s="58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spans="1:21" ht="14" x14ac:dyDescent="0.1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spans="1:21" ht="15" x14ac:dyDescent="0.2">
      <c r="A36" s="60" t="s">
        <v>159</v>
      </c>
      <c r="B36" s="60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6"/>
      <c r="S36" s="66"/>
      <c r="T36" s="66"/>
      <c r="U36" s="66"/>
    </row>
    <row r="37" spans="1:21" ht="14" x14ac:dyDescent="0.15">
      <c r="A37" s="69" t="s">
        <v>153</v>
      </c>
      <c r="B37" s="69"/>
      <c r="C37" s="70">
        <f>'Exhibit 6'!C28</f>
        <v>-8.6</v>
      </c>
      <c r="D37" s="70">
        <f>'Exhibit 6'!D28</f>
        <v>-2.9</v>
      </c>
      <c r="E37" s="70">
        <f>'Exhibit 6'!E28</f>
        <v>-13.5</v>
      </c>
      <c r="F37" s="70">
        <f>'Exhibit 6'!F28</f>
        <v>-28.4</v>
      </c>
      <c r="G37" s="70">
        <f>'Exhibit 6'!G28</f>
        <v>-17.100000000000001</v>
      </c>
      <c r="H37" s="70">
        <f>'Exhibit 6'!H28</f>
        <v>2.5</v>
      </c>
      <c r="I37" s="70">
        <f>'Exhibit 6'!I28</f>
        <v>12.5</v>
      </c>
      <c r="J37" s="70">
        <f>'Exhibit 6'!J28</f>
        <v>13.4</v>
      </c>
      <c r="K37" s="70">
        <f>'Exhibit 6'!K28</f>
        <v>18.5</v>
      </c>
      <c r="L37" s="70">
        <f>'Exhibit 6'!L28</f>
        <v>16.100000000000001</v>
      </c>
      <c r="M37" s="70">
        <f>'Exhibit 6'!M28</f>
        <v>21.2</v>
      </c>
      <c r="N37" s="70">
        <f>'Exhibit 6'!N28</f>
        <v>20.100000000000001</v>
      </c>
      <c r="O37" s="70">
        <f>'Exhibit 6'!O28</f>
        <v>18.8</v>
      </c>
      <c r="P37" s="70">
        <f>'Exhibit 6'!P28</f>
        <v>16.8</v>
      </c>
      <c r="Q37" s="70">
        <f>'Exhibit 6'!Q28</f>
        <v>14.4</v>
      </c>
      <c r="R37" s="66"/>
      <c r="S37" s="66"/>
      <c r="T37" s="66"/>
      <c r="U37" s="66"/>
    </row>
    <row r="38" spans="1:21" ht="14" x14ac:dyDescent="0.15">
      <c r="A38" s="71" t="s">
        <v>155</v>
      </c>
      <c r="B38" s="71"/>
      <c r="C38" s="70">
        <f>C37/(1+$U$6)^1</f>
        <v>-7.5319670695393244</v>
      </c>
      <c r="D38" s="70">
        <f>D37/(1+$U$6)^2</f>
        <v>-2.2244257844268782</v>
      </c>
      <c r="E38" s="70">
        <f>E37/(1+$U$6)^3</f>
        <v>-9.0690887617744682</v>
      </c>
      <c r="F38" s="70">
        <f>F37/(1+$U$6)^4</f>
        <v>-16.70929726516254</v>
      </c>
      <c r="G38" s="70">
        <f>G37/(1+$U$6)^5</f>
        <v>-8.8114202937010599</v>
      </c>
      <c r="H38" s="70">
        <f>H37/(1+$U$6)^6</f>
        <v>1.1282355414121259</v>
      </c>
      <c r="I38" s="70">
        <f>I37/(1+$U$6)^7</f>
        <v>4.9406005491860485</v>
      </c>
      <c r="J38" s="70">
        <f>J37/(1+$U$6)^8</f>
        <v>4.6385739960828909</v>
      </c>
      <c r="K38" s="70">
        <f>K37/(1+$U$6)^9</f>
        <v>5.6086892735176903</v>
      </c>
      <c r="L38" s="70">
        <f>L37/(1+$U$6)^10</f>
        <v>4.2748953668998135</v>
      </c>
      <c r="M38" s="70">
        <f>M37/(1+$U$6)^11</f>
        <v>4.9299831571527593</v>
      </c>
      <c r="N38" s="70">
        <f>N37/(1+$U$6)^12</f>
        <v>4.0936960450881301</v>
      </c>
      <c r="O38" s="70">
        <f>O37/(1+$U$6)^13</f>
        <v>3.3534153391240005</v>
      </c>
      <c r="P38" s="70">
        <f>P37/(1+$U$6)^14</f>
        <v>2.6245130727371122</v>
      </c>
      <c r="Q38" s="70">
        <f>Q37/(1+$U$6)^15</f>
        <v>1.9702072462556206</v>
      </c>
      <c r="R38" s="66"/>
      <c r="S38" s="66"/>
      <c r="T38" s="66"/>
      <c r="U38" s="66"/>
    </row>
    <row r="39" spans="1:21" ht="15" x14ac:dyDescent="0.2">
      <c r="A39" s="57" t="s">
        <v>152</v>
      </c>
      <c r="B39" s="57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>
        <f>'Exhibit 6'!Q30</f>
        <v>72.3</v>
      </c>
      <c r="R39" s="66"/>
      <c r="S39" s="66"/>
      <c r="T39" s="66"/>
      <c r="U39" s="66"/>
    </row>
    <row r="40" spans="1:21" ht="15" thickBot="1" x14ac:dyDescent="0.2">
      <c r="A40" s="74" t="s">
        <v>156</v>
      </c>
      <c r="B40" s="74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>
        <f>Q39/(1+$U$6)^15</f>
        <v>9.892082215575094</v>
      </c>
      <c r="R40" s="66"/>
      <c r="S40" s="66"/>
      <c r="T40" s="66"/>
      <c r="U40" s="66"/>
    </row>
    <row r="41" spans="1:21" ht="17" thickTop="1" thickBot="1" x14ac:dyDescent="0.25">
      <c r="A41" s="59" t="s">
        <v>160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63">
        <f>SUM(C38:Q38,Q40)</f>
        <v>3.1086926284270113</v>
      </c>
      <c r="R41" s="66"/>
      <c r="S41" s="66"/>
      <c r="T41" s="66"/>
      <c r="U41" s="66"/>
    </row>
    <row r="42" spans="1:21" ht="15" thickTop="1" x14ac:dyDescent="0.1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4" spans="1:21" ht="15" x14ac:dyDescent="0.2">
      <c r="A44" s="78" t="s">
        <v>168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9">
        <f>SUM(Q8,Q17,Q25,Q33,Q41)</f>
        <v>483.70038955830995</v>
      </c>
    </row>
    <row r="45" spans="1:21" ht="15" x14ac:dyDescent="0.2">
      <c r="A45" s="57"/>
    </row>
    <row r="48" spans="1:21" x14ac:dyDescent="0.15">
      <c r="R48" s="6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4A61-6512-6744-93BA-3048F6F02EED}">
  <dimension ref="A2:AC42"/>
  <sheetViews>
    <sheetView tabSelected="1" topLeftCell="B1" zoomScale="125" workbookViewId="0">
      <selection activeCell="W56" sqref="W56"/>
    </sheetView>
  </sheetViews>
  <sheetFormatPr baseColWidth="10" defaultRowHeight="13" x14ac:dyDescent="0.15"/>
  <cols>
    <col min="1" max="1" width="2.1640625" customWidth="1"/>
    <col min="2" max="2" width="13.6640625" style="1" bestFit="1" customWidth="1"/>
    <col min="3" max="3" width="12.33203125" style="1" bestFit="1" customWidth="1"/>
    <col min="4" max="4" width="2.5" customWidth="1"/>
    <col min="5" max="5" width="2.6640625" customWidth="1"/>
    <col min="6" max="6" width="17.6640625" bestFit="1" customWidth="1"/>
    <col min="24" max="24" width="22" style="18" customWidth="1"/>
  </cols>
  <sheetData>
    <row r="2" spans="1:29" x14ac:dyDescent="0.15">
      <c r="A2" s="85"/>
      <c r="B2" s="89" t="s">
        <v>179</v>
      </c>
      <c r="C2" s="89"/>
      <c r="F2" s="89" t="s">
        <v>157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X2" s="104" t="s">
        <v>180</v>
      </c>
      <c r="Y2" s="101">
        <v>0.3</v>
      </c>
      <c r="Z2" s="101">
        <v>0.35</v>
      </c>
      <c r="AA2" s="101">
        <v>0.4</v>
      </c>
      <c r="AB2" s="101">
        <v>0.45</v>
      </c>
      <c r="AC2" s="101">
        <v>0.5</v>
      </c>
    </row>
    <row r="3" spans="1:29" x14ac:dyDescent="0.15">
      <c r="A3" s="86"/>
      <c r="B3" s="99" t="s">
        <v>169</v>
      </c>
      <c r="C3" s="92">
        <f>V8</f>
        <v>64.417632440395721</v>
      </c>
      <c r="F3" s="1" t="s">
        <v>153</v>
      </c>
      <c r="H3" s="62">
        <v>4</v>
      </c>
      <c r="I3" s="62">
        <v>11.899999999999999</v>
      </c>
      <c r="J3" s="62">
        <v>7.6</v>
      </c>
      <c r="K3" s="62">
        <v>5.2</v>
      </c>
      <c r="L3" s="62">
        <v>4.5999999999999996</v>
      </c>
      <c r="M3" s="62">
        <v>6.7</v>
      </c>
      <c r="N3" s="62">
        <v>9.6999999999999993</v>
      </c>
      <c r="O3" s="62">
        <v>12.5</v>
      </c>
      <c r="P3" s="62">
        <v>16</v>
      </c>
      <c r="Q3" s="62">
        <v>15.1</v>
      </c>
      <c r="R3" s="62">
        <v>6.8</v>
      </c>
      <c r="S3" s="62">
        <v>14.7</v>
      </c>
      <c r="T3" s="62">
        <v>15.2</v>
      </c>
      <c r="U3" s="62">
        <v>16.5</v>
      </c>
      <c r="V3" s="62">
        <v>15.1</v>
      </c>
      <c r="X3" s="102">
        <v>1</v>
      </c>
      <c r="Y3" s="106">
        <v>35.487317918974853</v>
      </c>
      <c r="Z3" s="103">
        <v>35.529147305315973</v>
      </c>
      <c r="AA3" s="103">
        <v>35.616544167188991</v>
      </c>
      <c r="AB3" s="103">
        <v>35.759896836631683</v>
      </c>
      <c r="AC3" s="103">
        <v>35.962594081872126</v>
      </c>
    </row>
    <row r="4" spans="1:29" x14ac:dyDescent="0.15">
      <c r="A4" s="86"/>
      <c r="B4" s="99" t="s">
        <v>170</v>
      </c>
      <c r="C4" s="93">
        <f>('Exhibit 4'!C26/(1+'Real Options'!C5)^1)+('Exhibit 4'!D26/(1+'Real Options'!C5)^2)</f>
        <v>31.365674057184737</v>
      </c>
      <c r="F4" s="1" t="s">
        <v>155</v>
      </c>
      <c r="H4" s="62">
        <v>3.5032404974601508</v>
      </c>
      <c r="I4" s="62">
        <v>9.1278161498896022</v>
      </c>
      <c r="J4" s="62">
        <v>5.1055610807026639</v>
      </c>
      <c r="K4" s="62">
        <v>3.0594487950297609</v>
      </c>
      <c r="L4" s="62">
        <v>2.3703235877792319</v>
      </c>
      <c r="M4" s="62">
        <v>3.0236712509844974</v>
      </c>
      <c r="N4" s="62">
        <v>3.8339060261683731</v>
      </c>
      <c r="O4" s="62">
        <v>4.3270279814206072</v>
      </c>
      <c r="P4" s="62">
        <v>4.8507582906098943</v>
      </c>
      <c r="Q4" s="62">
        <v>4.0093739155395758</v>
      </c>
      <c r="R4" s="62">
        <v>1.5813153522942813</v>
      </c>
      <c r="S4" s="62">
        <v>2.9938971076017666</v>
      </c>
      <c r="T4" s="62">
        <v>2.7112719763130215</v>
      </c>
      <c r="U4" s="62">
        <v>2.5776467678668067</v>
      </c>
      <c r="V4" s="62">
        <v>2.0659812096152685</v>
      </c>
      <c r="X4" s="102">
        <v>2</v>
      </c>
      <c r="Y4" s="103">
        <v>37.825442317582471</v>
      </c>
      <c r="Z4" s="103">
        <v>38.007891735197333</v>
      </c>
      <c r="AA4" s="103">
        <v>38.292571669260802</v>
      </c>
      <c r="AB4" s="103">
        <v>38.674766232334576</v>
      </c>
      <c r="AC4" s="103">
        <v>39.142859782716627</v>
      </c>
    </row>
    <row r="5" spans="1:29" x14ac:dyDescent="0.15">
      <c r="A5" s="86"/>
      <c r="B5" s="99" t="s">
        <v>171</v>
      </c>
      <c r="C5" s="94">
        <f>'Exhibit 10'!B8</f>
        <v>8.0299999999999996E-2</v>
      </c>
      <c r="F5" s="88" t="s">
        <v>152</v>
      </c>
      <c r="G5" s="87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>
        <v>67.8</v>
      </c>
      <c r="X5" s="102">
        <v>3</v>
      </c>
      <c r="Y5" s="103">
        <v>40.021317188327615</v>
      </c>
      <c r="Z5" s="103">
        <v>40.329653365189657</v>
      </c>
      <c r="AA5" s="103">
        <v>40.766449374948962</v>
      </c>
      <c r="AB5" s="103">
        <v>41.314712542010071</v>
      </c>
      <c r="AC5" s="103">
        <v>41.953764149043707</v>
      </c>
    </row>
    <row r="6" spans="1:29" x14ac:dyDescent="0.15">
      <c r="A6" s="86"/>
      <c r="B6" s="99" t="s">
        <v>172</v>
      </c>
      <c r="C6" s="95">
        <v>0.4</v>
      </c>
      <c r="F6" s="1" t="s">
        <v>156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>
        <v>9.2763924511202127</v>
      </c>
      <c r="X6" s="102">
        <v>4</v>
      </c>
      <c r="Y6" s="103">
        <v>42.041629300663615</v>
      </c>
      <c r="Z6" s="103">
        <v>42.442850731245755</v>
      </c>
      <c r="AA6" s="103">
        <v>42.985148866406462</v>
      </c>
      <c r="AB6" s="103">
        <v>43.64328115159244</v>
      </c>
      <c r="AC6" s="103">
        <v>44.390837916375062</v>
      </c>
    </row>
    <row r="7" spans="1:29" x14ac:dyDescent="0.15">
      <c r="A7" s="86"/>
      <c r="B7" s="99" t="s">
        <v>173</v>
      </c>
      <c r="C7" s="96">
        <v>7</v>
      </c>
      <c r="F7" s="1" t="s">
        <v>163</v>
      </c>
      <c r="G7" s="62">
        <v>64.417632440395721</v>
      </c>
      <c r="H7" s="62">
        <v>69.552052720443825</v>
      </c>
      <c r="I7" s="62">
        <v>67.514533796202755</v>
      </c>
      <c r="J7" s="62">
        <v>69.488094688504304</v>
      </c>
      <c r="K7" s="62">
        <v>74.1415065153342</v>
      </c>
      <c r="L7" s="62">
        <v>80.054772139208595</v>
      </c>
      <c r="M7" s="62">
        <v>84.706538828548361</v>
      </c>
      <c r="N7" s="62">
        <v>87.017926034436513</v>
      </c>
      <c r="O7" s="62">
        <v>86.857067946119599</v>
      </c>
      <c r="P7" s="62">
        <v>83.173400180879355</v>
      </c>
      <c r="Q7" s="62">
        <v>79.867388326528044</v>
      </c>
      <c r="R7" s="62">
        <v>84.392583991229714</v>
      </c>
      <c r="S7" s="62">
        <v>81.659452401186073</v>
      </c>
      <c r="T7" s="62">
        <v>78.038762751674255</v>
      </c>
      <c r="U7" s="62">
        <v>72.60465930986166</v>
      </c>
      <c r="V7" s="62">
        <v>67.80000000000004</v>
      </c>
      <c r="X7" s="102">
        <v>5</v>
      </c>
      <c r="Y7" s="103">
        <v>43.887836245651201</v>
      </c>
      <c r="Z7" s="103">
        <v>44.353905391056763</v>
      </c>
      <c r="AA7" s="103">
        <v>44.96708170453374</v>
      </c>
      <c r="AB7" s="103">
        <v>45.696338891949523</v>
      </c>
      <c r="AC7" s="103">
        <v>46.511268598215821</v>
      </c>
    </row>
    <row r="8" spans="1:29" x14ac:dyDescent="0.15">
      <c r="A8" s="86"/>
      <c r="B8" s="99" t="s">
        <v>174</v>
      </c>
      <c r="C8" s="97">
        <f>(LN(C3/C4) + (C5 + 0.5*C6^2)*C7) / (C6*SQRT(C7))</f>
        <v>1.7403121672181936</v>
      </c>
      <c r="F8" s="89" t="s">
        <v>160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1">
        <v>64.417632440395721</v>
      </c>
      <c r="X8" s="102">
        <v>6</v>
      </c>
      <c r="Y8" s="103">
        <v>45.572184536421084</v>
      </c>
      <c r="Z8" s="103">
        <v>46.081497659647823</v>
      </c>
      <c r="AA8" s="103">
        <v>46.740303227006251</v>
      </c>
      <c r="AB8" s="103">
        <v>47.513352232469792</v>
      </c>
      <c r="AC8" s="103">
        <v>48.367277756084135</v>
      </c>
    </row>
    <row r="9" spans="1:29" x14ac:dyDescent="0.15">
      <c r="A9" s="86"/>
      <c r="B9" s="99" t="s">
        <v>175</v>
      </c>
      <c r="C9" s="97">
        <f>C8 - C6*SQRT(C7)</f>
        <v>0.68201164279235726</v>
      </c>
      <c r="X9" s="102">
        <v>7</v>
      </c>
      <c r="Y9" s="103">
        <v>47.109140865202143</v>
      </c>
      <c r="Z9" s="103">
        <v>47.645303483966607</v>
      </c>
      <c r="AA9" s="105">
        <v>48.331109392427791</v>
      </c>
      <c r="AB9" s="103">
        <v>49.128157250127501</v>
      </c>
      <c r="AC9" s="107">
        <v>50.00083136479379</v>
      </c>
    </row>
    <row r="10" spans="1:29" x14ac:dyDescent="0.15">
      <c r="A10" s="86"/>
      <c r="B10" s="99" t="s">
        <v>176</v>
      </c>
      <c r="C10" s="97">
        <f>_xlfn.NORM.S.DIST(C8, TRUE)</f>
        <v>0.95909789063386786</v>
      </c>
    </row>
    <row r="11" spans="1:29" x14ac:dyDescent="0.15">
      <c r="A11" s="86"/>
      <c r="B11" s="99" t="s">
        <v>177</v>
      </c>
      <c r="C11" s="97">
        <f>_xlfn.NORM.S.DIST(C9, TRUE)</f>
        <v>0.75238420556284979</v>
      </c>
    </row>
    <row r="12" spans="1:29" x14ac:dyDescent="0.15">
      <c r="A12" s="86"/>
      <c r="B12" s="99" t="s">
        <v>178</v>
      </c>
      <c r="C12" s="98">
        <f>C3*C10 - C4*EXP(-C5*C7)*C11</f>
        <v>48.331109392427791</v>
      </c>
    </row>
    <row r="17" spans="2:29" x14ac:dyDescent="0.15">
      <c r="B17" s="89" t="s">
        <v>179</v>
      </c>
      <c r="C17" s="89"/>
      <c r="F17" s="89" t="s">
        <v>158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X17" s="104" t="s">
        <v>180</v>
      </c>
      <c r="Y17" s="101">
        <v>0.3</v>
      </c>
      <c r="Z17" s="101">
        <v>0.35</v>
      </c>
      <c r="AA17" s="101">
        <v>0.4</v>
      </c>
      <c r="AB17" s="101">
        <v>0.45</v>
      </c>
      <c r="AC17" s="101">
        <v>0.5</v>
      </c>
    </row>
    <row r="18" spans="2:29" x14ac:dyDescent="0.15">
      <c r="B18" s="99" t="s">
        <v>169</v>
      </c>
      <c r="C18" s="92">
        <f>V22</f>
        <v>66.471102341069823</v>
      </c>
      <c r="F18" s="1" t="s">
        <v>153</v>
      </c>
      <c r="G18" s="61"/>
      <c r="H18" s="61">
        <v>4.2</v>
      </c>
      <c r="I18" s="61">
        <v>8.1</v>
      </c>
      <c r="J18" s="61">
        <v>9.9</v>
      </c>
      <c r="K18" s="61">
        <v>11.5</v>
      </c>
      <c r="L18" s="61">
        <v>12.299999999999999</v>
      </c>
      <c r="M18" s="61">
        <v>11.9</v>
      </c>
      <c r="N18" s="61">
        <v>13.1</v>
      </c>
      <c r="O18" s="61">
        <v>13</v>
      </c>
      <c r="P18" s="61">
        <v>13.2</v>
      </c>
      <c r="Q18" s="61">
        <v>11</v>
      </c>
      <c r="R18" s="61">
        <v>10.199999999999999</v>
      </c>
      <c r="S18" s="61">
        <v>10</v>
      </c>
      <c r="T18" s="61">
        <v>8.4</v>
      </c>
      <c r="U18" s="61">
        <v>7</v>
      </c>
      <c r="V18" s="61">
        <v>6.4</v>
      </c>
      <c r="X18" s="102">
        <v>1</v>
      </c>
      <c r="Y18" s="106">
        <v>35.094686995230333</v>
      </c>
      <c r="Z18" s="103">
        <v>35.158242737258973</v>
      </c>
      <c r="AA18" s="103">
        <v>35.279865412670773</v>
      </c>
      <c r="AB18" s="103">
        <v>35.467770745603985</v>
      </c>
      <c r="AC18" s="103">
        <v>35.722443595459197</v>
      </c>
    </row>
    <row r="19" spans="2:29" x14ac:dyDescent="0.15">
      <c r="B19" s="99" t="s">
        <v>170</v>
      </c>
      <c r="C19" s="93">
        <f>('Exhibit 5'!C26/(1+'Real Options'!C20)^1)+('Exhibit 5'!D26/(1+'Real Options'!C20)^2)+('Exhibit 5'!E26/(1+'Real Options'!C20)^3)+('Exhibit 5'!F26/(1+'Real Options'!C20)^4)+('Exhibit 5'!G26/(1+'Real Options'!C20)^5)</f>
        <v>34.029400753925998</v>
      </c>
      <c r="F19" s="1" t="s">
        <v>155</v>
      </c>
      <c r="G19" s="61"/>
      <c r="H19" s="61">
        <v>3.6784025223331587</v>
      </c>
      <c r="I19" s="61">
        <v>6.2130513289164524</v>
      </c>
      <c r="J19" s="61">
        <v>6.6506650919679435</v>
      </c>
      <c r="K19" s="61">
        <v>6.7660886813158179</v>
      </c>
      <c r="L19" s="61">
        <v>6.3380391586270761</v>
      </c>
      <c r="M19" s="61">
        <v>5.3704011771217193</v>
      </c>
      <c r="N19" s="61">
        <v>5.1777493755469788</v>
      </c>
      <c r="O19" s="61">
        <v>4.500109100677431</v>
      </c>
      <c r="P19" s="61">
        <v>4.0018755897531628</v>
      </c>
      <c r="Q19" s="61">
        <v>2.9207359649626055</v>
      </c>
      <c r="R19" s="61">
        <v>2.3719730284414218</v>
      </c>
      <c r="S19" s="61">
        <v>2.0366646990488206</v>
      </c>
      <c r="T19" s="61">
        <v>1.4983345132256172</v>
      </c>
      <c r="U19" s="61">
        <v>1.0935471136404633</v>
      </c>
      <c r="V19" s="61">
        <v>0.87564766500249813</v>
      </c>
      <c r="X19" s="102">
        <v>2</v>
      </c>
      <c r="Y19" s="103">
        <v>37.664898030382901</v>
      </c>
      <c r="Z19" s="103">
        <v>37.901017425826616</v>
      </c>
      <c r="AA19" s="103">
        <v>38.251663376074028</v>
      </c>
      <c r="AB19" s="103">
        <v>38.706952140244283</v>
      </c>
      <c r="AC19" s="103">
        <v>39.251588844747346</v>
      </c>
    </row>
    <row r="20" spans="2:29" x14ac:dyDescent="0.15">
      <c r="B20" s="99" t="s">
        <v>171</v>
      </c>
      <c r="C20" s="94">
        <f>'Exhibit 10'!B8</f>
        <v>8.0299999999999996E-2</v>
      </c>
      <c r="F20" s="1" t="s">
        <v>152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>
        <v>51</v>
      </c>
      <c r="X20" s="102">
        <v>3</v>
      </c>
      <c r="Y20" s="103">
        <v>40.070281715555751</v>
      </c>
      <c r="Z20" s="103">
        <v>40.448299805134631</v>
      </c>
      <c r="AA20" s="103">
        <v>40.964719292280151</v>
      </c>
      <c r="AB20" s="103">
        <v>41.597263920401232</v>
      </c>
      <c r="AC20" s="103">
        <v>42.321968362098431</v>
      </c>
    </row>
    <row r="21" spans="2:29" x14ac:dyDescent="0.15">
      <c r="B21" s="99" t="s">
        <v>172</v>
      </c>
      <c r="C21" s="95">
        <v>0.4</v>
      </c>
      <c r="F21" s="1" t="s">
        <v>156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>
        <v>6.9778173304886559</v>
      </c>
      <c r="X21" s="102">
        <v>4</v>
      </c>
      <c r="Y21" s="103">
        <v>42.273902192175314</v>
      </c>
      <c r="Z21" s="103">
        <v>42.752607320599409</v>
      </c>
      <c r="AA21" s="103">
        <v>43.380731131200733</v>
      </c>
      <c r="AB21" s="103">
        <v>44.127961471889947</v>
      </c>
      <c r="AC21" s="103">
        <v>44.964891618506343</v>
      </c>
    </row>
    <row r="22" spans="2:29" x14ac:dyDescent="0.15">
      <c r="B22" s="99" t="s">
        <v>173</v>
      </c>
      <c r="C22" s="96">
        <v>7</v>
      </c>
      <c r="F22" s="89" t="s">
        <v>160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>
        <v>66.471102341069823</v>
      </c>
      <c r="X22" s="102">
        <v>5</v>
      </c>
      <c r="Y22" s="103">
        <v>44.281408195435986</v>
      </c>
      <c r="Z22" s="103">
        <v>44.828466928072828</v>
      </c>
      <c r="AA22" s="103">
        <v>45.529978751719504</v>
      </c>
      <c r="AB22" s="103">
        <v>46.350032233321812</v>
      </c>
      <c r="AC22" s="103">
        <v>47.255380342632527</v>
      </c>
    </row>
    <row r="23" spans="2:29" x14ac:dyDescent="0.15">
      <c r="B23" s="99" t="s">
        <v>174</v>
      </c>
      <c r="C23" s="97">
        <f>(LN(C18/C19) + (C20 + 0.5*C21^2)*C22) / (C21*SQRT(C22))</f>
        <v>1.692942960522549</v>
      </c>
      <c r="X23" s="102">
        <v>6</v>
      </c>
      <c r="Y23" s="103">
        <v>46.10900182568345</v>
      </c>
      <c r="Z23" s="103">
        <v>46.700327907923622</v>
      </c>
      <c r="AA23" s="103">
        <v>47.447863771998868</v>
      </c>
      <c r="AB23" s="103">
        <v>48.311598841622875</v>
      </c>
      <c r="AC23" s="103">
        <v>49.25540277005868</v>
      </c>
    </row>
    <row r="24" spans="2:29" x14ac:dyDescent="0.15">
      <c r="B24" s="99" t="s">
        <v>175</v>
      </c>
      <c r="C24" s="97">
        <f>C23 - C21*SQRT(C22)</f>
        <v>0.63464243609671267</v>
      </c>
      <c r="X24" s="102">
        <v>7</v>
      </c>
      <c r="Y24" s="103">
        <v>47.774175607778965</v>
      </c>
      <c r="Z24" s="103">
        <v>48.391833252599383</v>
      </c>
      <c r="AA24" s="105">
        <v>49.165441201545171</v>
      </c>
      <c r="AB24" s="103">
        <v>50.051914994784084</v>
      </c>
      <c r="AC24" s="107">
        <v>51.012903421248652</v>
      </c>
    </row>
    <row r="25" spans="2:29" x14ac:dyDescent="0.15">
      <c r="B25" s="99" t="s">
        <v>176</v>
      </c>
      <c r="C25" s="97">
        <f>_xlfn.NORM.S.DIST(C23, TRUE)</f>
        <v>0.95476683753768943</v>
      </c>
    </row>
    <row r="26" spans="2:29" x14ac:dyDescent="0.15">
      <c r="B26" s="99" t="s">
        <v>177</v>
      </c>
      <c r="C26" s="97">
        <f>_xlfn.NORM.S.DIST(C24, TRUE)</f>
        <v>0.7371691776571393</v>
      </c>
    </row>
    <row r="27" spans="2:29" x14ac:dyDescent="0.15">
      <c r="B27" s="99" t="s">
        <v>178</v>
      </c>
      <c r="C27" s="98">
        <f>C18*C25 - C19*EXP(-C20*C22)*C26</f>
        <v>49.165441201545171</v>
      </c>
    </row>
    <row r="32" spans="2:29" x14ac:dyDescent="0.15">
      <c r="B32" s="89" t="s">
        <v>179</v>
      </c>
      <c r="C32" s="89"/>
      <c r="F32" s="89" t="s">
        <v>159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X32" s="104" t="s">
        <v>180</v>
      </c>
      <c r="Y32" s="101">
        <v>0.3</v>
      </c>
      <c r="Z32" s="101">
        <v>0.35</v>
      </c>
      <c r="AA32" s="101">
        <v>0.4</v>
      </c>
      <c r="AB32" s="101">
        <v>0.45</v>
      </c>
      <c r="AC32" s="101">
        <v>0.5</v>
      </c>
    </row>
    <row r="33" spans="2:29" x14ac:dyDescent="0.15">
      <c r="B33" s="99" t="s">
        <v>169</v>
      </c>
      <c r="C33" s="92">
        <f>V37</f>
        <v>71.174959788754506</v>
      </c>
      <c r="F33" s="1" t="s">
        <v>153</v>
      </c>
      <c r="G33" s="61"/>
      <c r="H33" s="61">
        <v>1.0999999999999996</v>
      </c>
      <c r="I33" s="61">
        <v>6.9</v>
      </c>
      <c r="J33" s="61">
        <v>8.8999999999999986</v>
      </c>
      <c r="K33" s="61">
        <v>10.5</v>
      </c>
      <c r="L33" s="61">
        <v>10.299999999999997</v>
      </c>
      <c r="M33" s="61">
        <v>2.5</v>
      </c>
      <c r="N33" s="61">
        <v>12.5</v>
      </c>
      <c r="O33" s="61">
        <v>13.4</v>
      </c>
      <c r="P33" s="61">
        <v>18.5</v>
      </c>
      <c r="Q33" s="61">
        <v>16.100000000000001</v>
      </c>
      <c r="R33" s="61">
        <v>21.2</v>
      </c>
      <c r="S33" s="61">
        <v>20.100000000000001</v>
      </c>
      <c r="T33" s="61">
        <v>18.8</v>
      </c>
      <c r="U33" s="61">
        <v>16.8</v>
      </c>
      <c r="V33" s="61">
        <v>14.4</v>
      </c>
      <c r="X33" s="102">
        <v>1</v>
      </c>
      <c r="Y33" s="106">
        <v>6.5782314477582133</v>
      </c>
      <c r="Z33" s="103">
        <v>7.9967205112914961</v>
      </c>
      <c r="AA33" s="103">
        <v>9.4161932823727135</v>
      </c>
      <c r="AB33" s="103">
        <v>10.833367243479064</v>
      </c>
      <c r="AC33" s="103">
        <v>12.245929660421087</v>
      </c>
    </row>
    <row r="34" spans="2:29" x14ac:dyDescent="0.15">
      <c r="B34" s="99" t="s">
        <v>170</v>
      </c>
      <c r="C34" s="93">
        <f>('Exhibit 6'!C26/(1+'Real Options'!C35)^1)+('Exhibit 6'!D26/(1+'Real Options'!C35)^2)+('Exhibit 6'!E26/(1+'Real Options'!C35)^3)+('Exhibit 6'!F26/(1+'Real Options'!C35)^4)+('Exhibit 6'!G26/(1+'Real Options'!C35)^5)</f>
        <v>82.326289089951317</v>
      </c>
      <c r="F34" s="1" t="s">
        <v>155</v>
      </c>
      <c r="G34" s="61"/>
      <c r="H34" s="61">
        <v>0.9633911368015412</v>
      </c>
      <c r="I34" s="61">
        <v>5.2925992801880897</v>
      </c>
      <c r="J34" s="61">
        <v>5.9788807392439081</v>
      </c>
      <c r="K34" s="61">
        <v>6.1777331438100944</v>
      </c>
      <c r="L34" s="61">
        <v>5.3074636856795836</v>
      </c>
      <c r="M34" s="61">
        <v>1.1282355414121259</v>
      </c>
      <c r="N34" s="61">
        <v>4.9406005491860485</v>
      </c>
      <c r="O34" s="61">
        <v>4.6385739960828909</v>
      </c>
      <c r="P34" s="61">
        <v>5.6086892735176903</v>
      </c>
      <c r="Q34" s="61">
        <v>4.2748953668998135</v>
      </c>
      <c r="R34" s="61">
        <v>4.9299831571527593</v>
      </c>
      <c r="S34" s="61">
        <v>4.0936960450881301</v>
      </c>
      <c r="T34" s="61">
        <v>3.3534153391240005</v>
      </c>
      <c r="U34" s="61">
        <v>2.6245130727371122</v>
      </c>
      <c r="V34" s="61">
        <v>1.9702072462556206</v>
      </c>
      <c r="X34" s="102">
        <v>2</v>
      </c>
      <c r="Y34" s="103">
        <v>12.406756525609403</v>
      </c>
      <c r="Z34" s="103">
        <v>14.346437541390422</v>
      </c>
      <c r="AA34" s="103">
        <v>16.269481463735929</v>
      </c>
      <c r="AB34" s="103">
        <v>18.173563945833713</v>
      </c>
      <c r="AC34" s="103">
        <v>20.056466245579735</v>
      </c>
    </row>
    <row r="35" spans="2:29" x14ac:dyDescent="0.15">
      <c r="B35" s="99" t="s">
        <v>171</v>
      </c>
      <c r="C35" s="94">
        <f>'Exhibit 10'!B8</f>
        <v>8.0299999999999996E-2</v>
      </c>
      <c r="F35" s="1" t="s">
        <v>152</v>
      </c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>
        <v>72.3</v>
      </c>
      <c r="X35" s="102">
        <v>3</v>
      </c>
      <c r="Y35" s="103">
        <v>17.39147241176402</v>
      </c>
      <c r="Z35" s="103">
        <v>19.612532945920467</v>
      </c>
      <c r="AA35" s="103">
        <v>21.812561481181071</v>
      </c>
      <c r="AB35" s="103">
        <v>23.985061228656534</v>
      </c>
      <c r="AC35" s="103">
        <v>26.124813794427158</v>
      </c>
    </row>
    <row r="36" spans="2:29" x14ac:dyDescent="0.15">
      <c r="B36" s="99" t="s">
        <v>172</v>
      </c>
      <c r="C36" s="95">
        <v>0.4</v>
      </c>
      <c r="F36" s="1" t="s">
        <v>156</v>
      </c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>
        <v>9.892082215575094</v>
      </c>
      <c r="X36" s="102">
        <v>4</v>
      </c>
      <c r="Y36" s="103">
        <v>21.800649543044912</v>
      </c>
      <c r="Z36" s="103">
        <v>24.178380438921753</v>
      </c>
      <c r="AA36" s="103">
        <v>26.536426844919237</v>
      </c>
      <c r="AB36" s="103">
        <v>28.861986344774341</v>
      </c>
      <c r="AC36" s="103">
        <v>31.145583194469101</v>
      </c>
    </row>
    <row r="37" spans="2:29" x14ac:dyDescent="0.15">
      <c r="B37" s="99" t="s">
        <v>173</v>
      </c>
      <c r="C37" s="96">
        <v>7</v>
      </c>
      <c r="F37" s="89" t="s">
        <v>160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>
        <v>71.174959788754506</v>
      </c>
      <c r="X37" s="102">
        <v>5</v>
      </c>
      <c r="Y37" s="103">
        <v>25.762857541290337</v>
      </c>
      <c r="Z37" s="103">
        <v>28.219208996058239</v>
      </c>
      <c r="AA37" s="103">
        <v>30.660201633236721</v>
      </c>
      <c r="AB37" s="103">
        <v>33.065831512303177</v>
      </c>
      <c r="AC37" s="103">
        <v>35.421855289158088</v>
      </c>
    </row>
    <row r="38" spans="2:29" x14ac:dyDescent="0.15">
      <c r="B38" s="99" t="s">
        <v>174</v>
      </c>
      <c r="C38" s="97">
        <f>(LN(C33/C34) + (C35 + 0.5*C36^2)*C37) / (C36*SQRT(C37))</f>
        <v>0.92275356477123427</v>
      </c>
      <c r="X38" s="102">
        <v>6</v>
      </c>
      <c r="Y38" s="103">
        <v>29.354783748841729</v>
      </c>
      <c r="Z38" s="103">
        <v>31.836912716695121</v>
      </c>
      <c r="AA38" s="103">
        <v>34.309595776135367</v>
      </c>
      <c r="AB38" s="103">
        <v>36.745385479303238</v>
      </c>
      <c r="AC38" s="103">
        <v>39.125155708621243</v>
      </c>
    </row>
    <row r="39" spans="2:29" x14ac:dyDescent="0.15">
      <c r="B39" s="99" t="s">
        <v>175</v>
      </c>
      <c r="C39" s="97">
        <f>C38 - C36*SQRT(C37)</f>
        <v>-0.13554695965460206</v>
      </c>
      <c r="X39" s="102">
        <v>7</v>
      </c>
      <c r="Y39" s="103">
        <v>32.628696824985695</v>
      </c>
      <c r="Z39" s="103">
        <v>35.099422263712206</v>
      </c>
      <c r="AA39" s="105">
        <v>37.567394301363066</v>
      </c>
      <c r="AB39" s="103">
        <v>39.997863584243063</v>
      </c>
      <c r="AC39" s="107">
        <v>42.366938100696366</v>
      </c>
    </row>
    <row r="40" spans="2:29" x14ac:dyDescent="0.15">
      <c r="B40" s="99" t="s">
        <v>176</v>
      </c>
      <c r="C40" s="97">
        <f>_xlfn.NORM.S.DIST(C38, TRUE)</f>
        <v>0.8219321776937889</v>
      </c>
    </row>
    <row r="41" spans="2:29" x14ac:dyDescent="0.15">
      <c r="B41" s="99" t="s">
        <v>177</v>
      </c>
      <c r="C41" s="97">
        <f>_xlfn.NORM.S.DIST(C39, TRUE)</f>
        <v>0.44608971919123563</v>
      </c>
    </row>
    <row r="42" spans="2:29" x14ac:dyDescent="0.15">
      <c r="B42" s="99" t="s">
        <v>178</v>
      </c>
      <c r="C42" s="98">
        <f>C33*C40 - C34*EXP(-C35*C37)*C41</f>
        <v>37.567394301363066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Copyright</vt:lpstr>
      <vt:lpstr>Table A</vt:lpstr>
      <vt:lpstr>Exhibit 1</vt:lpstr>
      <vt:lpstr>Exhibit 2</vt:lpstr>
      <vt:lpstr>Exhibit 3</vt:lpstr>
      <vt:lpstr>Exhibit 4</vt:lpstr>
      <vt:lpstr>Exhibit 5</vt:lpstr>
      <vt:lpstr>Exhibit 6</vt:lpstr>
      <vt:lpstr>Exhibit 7</vt:lpstr>
      <vt:lpstr>Exhibit 10</vt:lpstr>
      <vt:lpstr>DCF</vt:lpstr>
      <vt:lpstr>Real Options</vt:lpstr>
    </vt:vector>
  </TitlesOfParts>
  <Manager> </Manager>
  <Company>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> </dc:subject>
  <dc:creator>Mullins, William</dc:creator>
  <cp:lastModifiedBy>Albina Ananyan</cp:lastModifiedBy>
  <cp:lastPrinted>2010-06-17T03:21:27Z</cp:lastPrinted>
  <dcterms:created xsi:type="dcterms:W3CDTF">2010-04-05T11:50:24Z</dcterms:created>
  <dcterms:modified xsi:type="dcterms:W3CDTF">2026-02-26T08:09:47Z</dcterms:modified>
</cp:coreProperties>
</file>